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bookViews>
    <workbookView xWindow="0" yWindow="0" windowWidth="28800" windowHeight="12300" activeTab="1"/>
  </bookViews>
  <sheets>
    <sheet name="Нормы расхода" sheetId="1" r:id="rId1"/>
    <sheet name="Лист1" sheetId="2" r:id="rId2"/>
  </sheets>
  <definedNames>
    <definedName name="_xlnm._FilterDatabase" localSheetId="0" hidden="1">'Нормы расхода'!$A$2:$A$97</definedName>
  </definedNames>
  <calcPr calcId="162913"/>
  <extLst>
    <ext uri="GoogleSheetsCustomDataVersion2">
      <go:sheetsCustomData xmlns:go="http://customooxmlschemas.google.com/" r:id="rId5" roundtripDataChecksum="jXaRwGsuuvBWHXsr6gVs4q9mUuQGvP2UYP38YMvgLR8="/>
    </ext>
  </extLst>
</workbook>
</file>

<file path=xl/calcChain.xml><?xml version="1.0" encoding="utf-8"?>
<calcChain xmlns="http://schemas.openxmlformats.org/spreadsheetml/2006/main">
  <c r="H97" i="1" l="1"/>
  <c r="F97" i="1" s="1"/>
  <c r="G97" i="1"/>
  <c r="E97" i="1" s="1"/>
  <c r="C97" i="1"/>
  <c r="H96" i="1"/>
  <c r="D96" i="1" s="1"/>
  <c r="F96" i="1"/>
  <c r="E96" i="1"/>
  <c r="C96" i="1"/>
  <c r="F95" i="1"/>
  <c r="E95" i="1"/>
  <c r="D95" i="1"/>
  <c r="C95" i="1"/>
  <c r="H94" i="1"/>
  <c r="F94" i="1" s="1"/>
  <c r="G94" i="1"/>
  <c r="E94" i="1" s="1"/>
  <c r="F93" i="1"/>
  <c r="D93" i="1"/>
  <c r="E92" i="1"/>
  <c r="C92" i="1"/>
  <c r="F91" i="1"/>
  <c r="E91" i="1"/>
  <c r="D91" i="1"/>
  <c r="C91" i="1"/>
  <c r="F90" i="1"/>
  <c r="E90" i="1"/>
  <c r="D90" i="1"/>
  <c r="C90" i="1"/>
  <c r="F89" i="1"/>
  <c r="E89" i="1"/>
  <c r="D89" i="1"/>
  <c r="C89" i="1"/>
  <c r="F88" i="1"/>
  <c r="E88" i="1"/>
  <c r="D88" i="1"/>
  <c r="C88" i="1"/>
  <c r="F87" i="1"/>
  <c r="E87" i="1"/>
  <c r="D87" i="1"/>
  <c r="C87" i="1"/>
  <c r="F86" i="1"/>
  <c r="E86" i="1"/>
  <c r="D86" i="1"/>
  <c r="C86" i="1"/>
  <c r="F85" i="1"/>
  <c r="E85" i="1"/>
  <c r="D85" i="1"/>
  <c r="C85" i="1"/>
  <c r="F84" i="1"/>
  <c r="E84" i="1"/>
  <c r="D84" i="1"/>
  <c r="C84" i="1"/>
  <c r="F83" i="1"/>
  <c r="E83" i="1"/>
  <c r="D83" i="1"/>
  <c r="C83" i="1"/>
  <c r="F82" i="1"/>
  <c r="E82" i="1"/>
  <c r="D82" i="1"/>
  <c r="C82" i="1"/>
  <c r="F81" i="1"/>
  <c r="E81" i="1"/>
  <c r="D81" i="1"/>
  <c r="C81" i="1"/>
  <c r="F80" i="1"/>
  <c r="E80" i="1"/>
  <c r="D80" i="1"/>
  <c r="C80" i="1"/>
  <c r="F79" i="1"/>
  <c r="E79" i="1"/>
  <c r="D79" i="1"/>
  <c r="C79" i="1"/>
  <c r="F78" i="1"/>
  <c r="E78" i="1"/>
  <c r="D78" i="1"/>
  <c r="C78" i="1"/>
  <c r="F77" i="1"/>
  <c r="E77" i="1"/>
  <c r="D77" i="1"/>
  <c r="C77" i="1"/>
  <c r="F76" i="1"/>
  <c r="E76" i="1"/>
  <c r="D76" i="1"/>
  <c r="C76" i="1"/>
  <c r="H75" i="1"/>
  <c r="F75" i="1" s="1"/>
  <c r="G75" i="1"/>
  <c r="E75" i="1"/>
  <c r="D75" i="1"/>
  <c r="C75" i="1"/>
  <c r="F74" i="1"/>
  <c r="E74" i="1"/>
  <c r="D74" i="1"/>
  <c r="C74" i="1"/>
  <c r="H73" i="1"/>
  <c r="G73" i="1"/>
  <c r="F73" i="1"/>
  <c r="E73" i="1"/>
  <c r="D73" i="1"/>
  <c r="C73" i="1"/>
  <c r="H72" i="1"/>
  <c r="F72" i="1" s="1"/>
  <c r="G72" i="1"/>
  <c r="E72" i="1"/>
  <c r="D72" i="1"/>
  <c r="C72" i="1"/>
  <c r="H71" i="1"/>
  <c r="F71" i="1" s="1"/>
  <c r="G71" i="1"/>
  <c r="E71" i="1" s="1"/>
  <c r="H70" i="1"/>
  <c r="D70" i="1" s="1"/>
  <c r="G70" i="1"/>
  <c r="E70" i="1" s="1"/>
  <c r="F70" i="1"/>
  <c r="H69" i="1"/>
  <c r="G69" i="1"/>
  <c r="F69" i="1"/>
  <c r="E69" i="1"/>
  <c r="D69" i="1"/>
  <c r="C69" i="1"/>
  <c r="H68" i="1"/>
  <c r="F68" i="1" s="1"/>
  <c r="G68" i="1"/>
  <c r="E68" i="1"/>
  <c r="D68" i="1"/>
  <c r="C68" i="1"/>
  <c r="H67" i="1"/>
  <c r="F67" i="1" s="1"/>
  <c r="G67" i="1"/>
  <c r="E67" i="1" s="1"/>
  <c r="H66" i="1"/>
  <c r="D66" i="1" s="1"/>
  <c r="G66" i="1"/>
  <c r="E66" i="1" s="1"/>
  <c r="F66" i="1"/>
  <c r="H65" i="1"/>
  <c r="G65" i="1"/>
  <c r="F65" i="1"/>
  <c r="E65" i="1"/>
  <c r="D65" i="1"/>
  <c r="C65" i="1"/>
  <c r="H64" i="1"/>
  <c r="F64" i="1" s="1"/>
  <c r="G64" i="1"/>
  <c r="E64" i="1"/>
  <c r="D64" i="1"/>
  <c r="C64" i="1"/>
  <c r="H63" i="1"/>
  <c r="F63" i="1" s="1"/>
  <c r="G63" i="1"/>
  <c r="E63" i="1" s="1"/>
  <c r="H62" i="1"/>
  <c r="D62" i="1" s="1"/>
  <c r="G62" i="1"/>
  <c r="E62" i="1" s="1"/>
  <c r="F62" i="1"/>
  <c r="H61" i="1"/>
  <c r="G61" i="1"/>
  <c r="F61" i="1"/>
  <c r="E61" i="1"/>
  <c r="D61" i="1"/>
  <c r="C61" i="1"/>
  <c r="H60" i="1"/>
  <c r="F60" i="1" s="1"/>
  <c r="G60" i="1"/>
  <c r="E60" i="1"/>
  <c r="D60" i="1"/>
  <c r="C60" i="1"/>
  <c r="H59" i="1"/>
  <c r="F59" i="1" s="1"/>
  <c r="G59" i="1"/>
  <c r="E59" i="1" s="1"/>
  <c r="H58" i="1"/>
  <c r="D58" i="1" s="1"/>
  <c r="G58" i="1"/>
  <c r="E58" i="1" s="1"/>
  <c r="F58" i="1"/>
  <c r="H57" i="1"/>
  <c r="G57" i="1"/>
  <c r="F57" i="1"/>
  <c r="E57" i="1"/>
  <c r="D57" i="1"/>
  <c r="C57" i="1"/>
  <c r="H56" i="1"/>
  <c r="F56" i="1" s="1"/>
  <c r="G56" i="1"/>
  <c r="E56" i="1"/>
  <c r="D56" i="1"/>
  <c r="C56" i="1"/>
  <c r="H55" i="1"/>
  <c r="F55" i="1" s="1"/>
  <c r="G55" i="1"/>
  <c r="E55" i="1" s="1"/>
  <c r="H54" i="1"/>
  <c r="D54" i="1" s="1"/>
  <c r="G54" i="1"/>
  <c r="E54" i="1" s="1"/>
  <c r="F54" i="1"/>
  <c r="H53" i="1"/>
  <c r="G53" i="1"/>
  <c r="F53" i="1"/>
  <c r="E53" i="1"/>
  <c r="D53" i="1"/>
  <c r="C53" i="1"/>
  <c r="H52" i="1"/>
  <c r="F52" i="1" s="1"/>
  <c r="G52" i="1"/>
  <c r="E52" i="1"/>
  <c r="D52" i="1"/>
  <c r="C52" i="1"/>
  <c r="H51" i="1"/>
  <c r="F51" i="1" s="1"/>
  <c r="G51" i="1"/>
  <c r="E51" i="1" s="1"/>
  <c r="H50" i="1"/>
  <c r="D50" i="1" s="1"/>
  <c r="G50" i="1"/>
  <c r="E50" i="1" s="1"/>
  <c r="F50" i="1"/>
  <c r="H49" i="1"/>
  <c r="G49" i="1"/>
  <c r="F49" i="1"/>
  <c r="E49" i="1"/>
  <c r="D49" i="1"/>
  <c r="C49" i="1"/>
  <c r="H48" i="1"/>
  <c r="F48" i="1" s="1"/>
  <c r="G48" i="1"/>
  <c r="E48" i="1"/>
  <c r="D48" i="1"/>
  <c r="C48" i="1"/>
  <c r="H47" i="1"/>
  <c r="F47" i="1" s="1"/>
  <c r="G47" i="1"/>
  <c r="E47" i="1" s="1"/>
  <c r="H46" i="1"/>
  <c r="D46" i="1" s="1"/>
  <c r="G46" i="1"/>
  <c r="E46" i="1" s="1"/>
  <c r="F46" i="1"/>
  <c r="H45" i="1"/>
  <c r="G45" i="1"/>
  <c r="F45" i="1"/>
  <c r="E45" i="1"/>
  <c r="D45" i="1"/>
  <c r="C45" i="1"/>
  <c r="H44" i="1"/>
  <c r="F44" i="1" s="1"/>
  <c r="G44" i="1"/>
  <c r="E44" i="1"/>
  <c r="D44" i="1"/>
  <c r="C44" i="1"/>
  <c r="H43" i="1"/>
  <c r="F43" i="1" s="1"/>
  <c r="G43" i="1"/>
  <c r="E43" i="1" s="1"/>
  <c r="F42" i="1"/>
  <c r="E42" i="1"/>
  <c r="D42" i="1"/>
  <c r="C42" i="1"/>
  <c r="F41" i="1"/>
  <c r="E41" i="1"/>
  <c r="D41" i="1"/>
  <c r="C41" i="1"/>
  <c r="F40" i="1"/>
  <c r="E40" i="1"/>
  <c r="D40" i="1"/>
  <c r="C40" i="1"/>
  <c r="F39" i="1"/>
  <c r="E39" i="1"/>
  <c r="D39" i="1"/>
  <c r="C39" i="1"/>
  <c r="F38" i="1"/>
  <c r="E38" i="1"/>
  <c r="D38" i="1"/>
  <c r="C38" i="1"/>
  <c r="F37" i="1"/>
  <c r="E37" i="1"/>
  <c r="D37" i="1"/>
  <c r="C37" i="1"/>
  <c r="F36" i="1"/>
  <c r="E36" i="1"/>
  <c r="D36" i="1"/>
  <c r="C36" i="1"/>
  <c r="F35" i="1"/>
  <c r="E35" i="1"/>
  <c r="D35" i="1"/>
  <c r="C35" i="1"/>
  <c r="H34" i="1"/>
  <c r="D34" i="1" s="1"/>
  <c r="G34" i="1"/>
  <c r="E34" i="1" s="1"/>
  <c r="F34" i="1"/>
  <c r="H33" i="1"/>
  <c r="G33" i="1"/>
  <c r="F33" i="1"/>
  <c r="E33" i="1"/>
  <c r="D33" i="1"/>
  <c r="C33" i="1"/>
  <c r="H32" i="1"/>
  <c r="F32" i="1" s="1"/>
  <c r="G32" i="1"/>
  <c r="E32" i="1"/>
  <c r="D32" i="1"/>
  <c r="C32" i="1"/>
  <c r="H31" i="1"/>
  <c r="F31" i="1" s="1"/>
  <c r="G31" i="1"/>
  <c r="E31" i="1" s="1"/>
  <c r="H30" i="1"/>
  <c r="D30" i="1" s="1"/>
  <c r="G30" i="1"/>
  <c r="E30" i="1" s="1"/>
  <c r="F30" i="1"/>
  <c r="H29" i="1"/>
  <c r="G29" i="1"/>
  <c r="F29" i="1"/>
  <c r="E29" i="1"/>
  <c r="D29" i="1"/>
  <c r="C29" i="1"/>
  <c r="H28" i="1"/>
  <c r="F28" i="1" s="1"/>
  <c r="G28" i="1"/>
  <c r="E28" i="1"/>
  <c r="D28" i="1"/>
  <c r="C28" i="1"/>
  <c r="E27" i="1"/>
  <c r="C27" i="1"/>
  <c r="F26" i="1"/>
  <c r="D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H19" i="1"/>
  <c r="G19" i="1"/>
  <c r="F19" i="1"/>
  <c r="E19" i="1"/>
  <c r="D19" i="1"/>
  <c r="C19" i="1"/>
  <c r="H18" i="1"/>
  <c r="F18" i="1" s="1"/>
  <c r="G18" i="1"/>
  <c r="E18" i="1"/>
  <c r="D18" i="1"/>
  <c r="C18" i="1"/>
  <c r="H17" i="1"/>
  <c r="F17" i="1" s="1"/>
  <c r="G17" i="1"/>
  <c r="E17" i="1" s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H9" i="1"/>
  <c r="F9" i="1" s="1"/>
  <c r="E9" i="1"/>
  <c r="C9" i="1"/>
  <c r="H8" i="1"/>
  <c r="D8" i="1" s="1"/>
  <c r="F8" i="1"/>
  <c r="E8" i="1"/>
  <c r="C8" i="1"/>
  <c r="H7" i="1"/>
  <c r="F7" i="1"/>
  <c r="E7" i="1"/>
  <c r="D7" i="1"/>
  <c r="C7" i="1"/>
  <c r="H6" i="1"/>
  <c r="F6" i="1" s="1"/>
  <c r="E6" i="1"/>
  <c r="C6" i="1"/>
  <c r="H5" i="1"/>
  <c r="F5" i="1"/>
  <c r="E5" i="1"/>
  <c r="D5" i="1"/>
  <c r="C5" i="1"/>
  <c r="H4" i="1"/>
  <c r="F4" i="1"/>
  <c r="E4" i="1"/>
  <c r="D4" i="1"/>
  <c r="C4" i="1"/>
  <c r="H3" i="1"/>
  <c r="F3" i="1" s="1"/>
  <c r="E3" i="1"/>
  <c r="C3" i="1"/>
  <c r="D9" i="1" l="1"/>
  <c r="C17" i="1"/>
  <c r="C31" i="1"/>
  <c r="C47" i="1"/>
  <c r="C51" i="1"/>
  <c r="C55" i="1"/>
  <c r="C59" i="1"/>
  <c r="D6" i="1"/>
  <c r="D17" i="1"/>
  <c r="D31" i="1"/>
  <c r="D43" i="1"/>
  <c r="D47" i="1"/>
  <c r="D51" i="1"/>
  <c r="D55" i="1"/>
  <c r="D59" i="1"/>
  <c r="D63" i="1"/>
  <c r="D67" i="1"/>
  <c r="D71" i="1"/>
  <c r="D94" i="1"/>
  <c r="C43" i="1"/>
  <c r="C63" i="1"/>
  <c r="C67" i="1"/>
  <c r="C71" i="1"/>
  <c r="C94" i="1"/>
  <c r="D97" i="1"/>
  <c r="D3" i="1"/>
  <c r="C30" i="1"/>
  <c r="C34" i="1"/>
  <c r="C46" i="1"/>
  <c r="C50" i="1"/>
  <c r="C54" i="1"/>
  <c r="C58" i="1"/>
  <c r="C62" i="1"/>
  <c r="C66" i="1"/>
  <c r="C70" i="1"/>
</calcChain>
</file>

<file path=xl/sharedStrings.xml><?xml version="1.0" encoding="utf-8"?>
<sst xmlns="http://schemas.openxmlformats.org/spreadsheetml/2006/main" count="115" uniqueCount="110">
  <si>
    <t>Наименование материала</t>
  </si>
  <si>
    <t>Этап</t>
  </si>
  <si>
    <t>Нормы расхода на 1 м2</t>
  </si>
  <si>
    <t>Нормы расхода на 1 ламель</t>
  </si>
  <si>
    <t>Нормы расхода на 1 упак.</t>
  </si>
  <si>
    <t>Палуба</t>
  </si>
  <si>
    <t>Елка</t>
  </si>
  <si>
    <t>40035302 UVEHEL паста 307 оранжевая (1л)</t>
  </si>
  <si>
    <t>40035402 UVEHEL паста 211 желтая (1л)</t>
  </si>
  <si>
    <t>40035502 UVEHEL паста 504 синяя (1л)</t>
  </si>
  <si>
    <t>40035702 UVEHEL pasta 401 violet (1л)</t>
  </si>
  <si>
    <t>40035902 UVEHEL pasta 904 black (1л)</t>
  </si>
  <si>
    <t>47041202 Концентрат W красная (1л)</t>
  </si>
  <si>
    <t>9001 Патина RAL9001 на XP1950_series (1л)</t>
  </si>
  <si>
    <t>Egger ХДФ сорт 1 Е1 HDF-KTICE 1400x2070x9.4</t>
  </si>
  <si>
    <t>HD-HYDRO VERNETZER</t>
  </si>
  <si>
    <t>HD-Olsiegel</t>
  </si>
  <si>
    <t>PD 1410 Краситель (белый) (5 кг)</t>
  </si>
  <si>
    <t>PS2205 Tera морилка для дерева черная (20 л)</t>
  </si>
  <si>
    <t>PS2207 Tera морилка для дерева желтая (20л)</t>
  </si>
  <si>
    <t>SD0008 Tera Связующее для морилок на водной основе (20л)</t>
  </si>
  <si>
    <t>Tera Водная паста белая</t>
  </si>
  <si>
    <t>Tera Морилка для дерева коричневая</t>
  </si>
  <si>
    <t>Tera УФ масло прозрачное</t>
  </si>
  <si>
    <t>XP 1950/22-5 Краска</t>
  </si>
  <si>
    <t>Двухкомпонентный полиуретановый клей для паркета PUR-2K</t>
  </si>
  <si>
    <t>Кестокол Д300 (клей для пракета)</t>
  </si>
  <si>
    <t>Клей Concept PU 1530 AS</t>
  </si>
  <si>
    <t>Клей Teracol D301 (30 кг)</t>
  </si>
  <si>
    <t>Клей U-win К802 EVA низкотемпературный Кремово-белый, 25 кг</t>
  </si>
  <si>
    <t>Короб Т23 С700*135*135 без печати</t>
  </si>
  <si>
    <t>Короб Т24 С1400*160*88 без печати</t>
  </si>
  <si>
    <t>Краситель для УФ-лака, цвет: белый (5 кг)</t>
  </si>
  <si>
    <t>Краситель для УФ-лака, цвет: белый (кг)</t>
  </si>
  <si>
    <t>Краситель для УФ-лака, цвет: оксид красного (5 кг)</t>
  </si>
  <si>
    <t>Краситель для УФ-лака, цвет: оксид красного (кг)</t>
  </si>
  <si>
    <t>Краситель для УФ-лака, цвет: черный (5 кг)</t>
  </si>
  <si>
    <t>Краситель для УФ-лака, цвет: черный (кг)</t>
  </si>
  <si>
    <t>Лак ЯрЛИмер</t>
  </si>
  <si>
    <t>Лист упаковочный (гофрокартон) Т21 2,05х1,03</t>
  </si>
  <si>
    <t>Листовка 150х580</t>
  </si>
  <si>
    <t>Масло на водной основе</t>
  </si>
  <si>
    <t>Масло на водной основе OCULTO (ROLL 7285, 20 л)</t>
  </si>
  <si>
    <t>Масло на водной основе OCULTO (ROLL 7285) в литрах</t>
  </si>
  <si>
    <t>Матовый лак УФ, UO C218</t>
  </si>
  <si>
    <t>Матовый лак УФ, UO C218 (25 кг)</t>
  </si>
  <si>
    <t>Наклейки 10*15 см</t>
  </si>
  <si>
    <t>Паста колеровочная ЯрЛИмер УФ белая</t>
  </si>
  <si>
    <t>Паста колеровочная ЯрЛИмер УФ зеленая</t>
  </si>
  <si>
    <t>Паста колеровочная ЯрЛИмер УФ кирпично-желтая</t>
  </si>
  <si>
    <t>Паста колеровочная ЯрЛИмер УФ коричневая</t>
  </si>
  <si>
    <t>Паста колеровочная ЯрЛИмер УФ красно-фиолетовая</t>
  </si>
  <si>
    <t>Паста колеровочная ЯрЛИмер УФ красновато-желтая</t>
  </si>
  <si>
    <t>Паста колеровочная ЯрЛИмер УФ лимонно-желтая</t>
  </si>
  <si>
    <t>Паста колеровочная ЯрЛИмер УФ оранжево-коричневая</t>
  </si>
  <si>
    <t>Паста колеровочная ЯрЛИмер УФ розовая</t>
  </si>
  <si>
    <t>Паста колеровочная ЯрЛИмер УФ темно-красная</t>
  </si>
  <si>
    <t>Паста колеровочная ЯрЛИмер УФ фиолетовая</t>
  </si>
  <si>
    <t>Паста колеровочная ЯрЛИмер УФ черная</t>
  </si>
  <si>
    <t>Паста колеровочная ЯрЛИмер УФ черно-коричневая</t>
  </si>
  <si>
    <t>Паста колеровочная ЯрЛИмер УФ ярко-красная</t>
  </si>
  <si>
    <t>Паста колеровочная ЯрЛИмер УФ ярко-оранжевая</t>
  </si>
  <si>
    <t>Патина PSM01 на PD1_90</t>
  </si>
  <si>
    <t>Патина PSM05 на PD1_90</t>
  </si>
  <si>
    <t>Патина RAL 1013</t>
  </si>
  <si>
    <t>Пигментная паста УФ белый, EU М110/С 02</t>
  </si>
  <si>
    <t>Пигментная паста УФ лимонный, EU М110/С 85</t>
  </si>
  <si>
    <t>Пигментная паста УФ нейтральный, EU М110/NRO</t>
  </si>
  <si>
    <t>Пигментная паста УФ охра, EU М110/С 77</t>
  </si>
  <si>
    <t>Пигментная паста УФ синий, EU М110/С 04</t>
  </si>
  <si>
    <t>РР2723 Tera Водная паста белая (1л)</t>
  </si>
  <si>
    <t>РР2725 Tera Водная паста черная (1л)</t>
  </si>
  <si>
    <t>РР2739 Tera Водная паста Охра (1л)</t>
  </si>
  <si>
    <t>РР2901 УФ белый пигмент (1л)</t>
  </si>
  <si>
    <t>РР2902 УФ пигмент охра (1л)</t>
  </si>
  <si>
    <t>РР2906 УФ пигмент цитрон (1л)</t>
  </si>
  <si>
    <t>РР2908 УФ пигмент черный (1л)</t>
  </si>
  <si>
    <t>РР2911 УФ пигмент красный (1л)</t>
  </si>
  <si>
    <t>Смола КФЖ UFP</t>
  </si>
  <si>
    <t>ТТ9000 УФ Водный изолятор</t>
  </si>
  <si>
    <t>ТТ9810 УФ Лак для паркета 10</t>
  </si>
  <si>
    <t>ТТ9900 Tera УФ масло прозрачное</t>
  </si>
  <si>
    <t>ТТ9900 Tera УФ масло прозрачное 20кг</t>
  </si>
  <si>
    <t>ТТ9905 УФ грунт прозрачный матовый (25кг)</t>
  </si>
  <si>
    <t>УФ грунт (водный BASE UV HYDRO 1150, 20 kg)</t>
  </si>
  <si>
    <t>УФ грунт (водный BASE UV HYDRO 1150, 20 kg) (кг)</t>
  </si>
  <si>
    <t>УФ грунт прозрачный матовый</t>
  </si>
  <si>
    <t>УФ масло на натуральной основе (PRIMER 9010 (кг)</t>
  </si>
  <si>
    <t>УФ масло на натуральной основе (PRIMER 9010, 20кг)</t>
  </si>
  <si>
    <t>УФ масло на натуральной основе (SATIN 8955 (кг)</t>
  </si>
  <si>
    <t>УФ масло на натуральной основе (SATIN 8955, 20 кг)</t>
  </si>
  <si>
    <t>УФ масло на натуральной основе (SOFT MATT 8915, 20 кг)</t>
  </si>
  <si>
    <t>УФ масло на натуральной основе (SOFT MATT 8915) (кг)</t>
  </si>
  <si>
    <t>ХДФ 2620х2070х10 мм (9,4мм) (F) Кастамону</t>
  </si>
  <si>
    <t>ХДФ 2800х2070х3мм Ультрадекор</t>
  </si>
  <si>
    <t>Шпон дубовый</t>
  </si>
  <si>
    <t>Шпон лущеный березовый сорт 1-2, 1400*155*1,5 (м2)</t>
  </si>
  <si>
    <t>Шпон лущеный березовый сорт 1-2, разм. 690*130*1,5 (м2)</t>
  </si>
  <si>
    <t>Грунтовка ЯрЛИмер</t>
  </si>
  <si>
    <t>Листовка А4</t>
  </si>
  <si>
    <t>ХР 1950/22-5 Краска</t>
  </si>
  <si>
    <t>РР2905 УФ пигмент оранжевый</t>
  </si>
  <si>
    <t>Паста</t>
  </si>
  <si>
    <t>Лак</t>
  </si>
  <si>
    <t>Масло</t>
  </si>
  <si>
    <t>Краситель</t>
  </si>
  <si>
    <t>Пигмент</t>
  </si>
  <si>
    <t>Грунт</t>
  </si>
  <si>
    <t>Норма расхода</t>
  </si>
  <si>
    <t>Материалы, которые содержат в названии следующие слова, списываются по указанным нормам, ед. измерения бери со склада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</si>
</sst>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"/>
    <numFmt numFmtId="165" formatCode="0.000"/>
  </numFmts>
  <fonts count="9" x14ac:knownFonts="1">
    <font>
      <sz val="8"/>
      <color rgb="FF000000"/>
      <name val="Calibri"/>
      <scheme val="minor"/>
    </font>
    <font>
      <b/>
      <sz val="11"/>
      <color theme="1"/>
      <name val="Arial"/>
    </font>
    <font>
      <sz val="8"/>
      <name val="Calibri"/>
    </font>
    <font>
      <sz val="11"/>
      <color theme="1"/>
      <name val="Calibri"/>
    </font>
    <font>
      <sz val="9"/>
      <color rgb="FF003F2F"/>
      <name val="Arial"/>
    </font>
    <font>
      <b/>
      <sz val="12"/>
      <color theme="1"/>
      <name val="Arial"/>
    </font>
    <font>
      <b/>
      <sz val="12"/>
      <color theme="1"/>
      <name val="Calibri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8DB3E2"/>
        <bgColor rgb="FF8DB3E2"/>
      </patternFill>
    </fill>
    <fill>
      <patternFill patternType="solid">
        <fgColor rgb="FF00B050"/>
        <bgColor rgb="FF00B050"/>
      </patternFill>
    </fill>
    <fill>
      <patternFill patternType="solid">
        <fgColor rgb="FFC27BA0"/>
        <bgColor rgb="FFC27BA0"/>
      </patternFill>
    </fill>
    <fill>
      <patternFill patternType="solid">
        <fgColor rgb="FFB6DDE8"/>
        <bgColor rgb="FFB6DDE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ACC8BD"/>
      </left>
      <right style="thin">
        <color rgb="FFACC8BD"/>
      </right>
      <top/>
      <bottom style="thin">
        <color rgb="FFACC8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17" fontId="1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4" fillId="3" borderId="1" xfId="0" applyFont="1" applyFill="1" applyBorder="1" applyAlignment="1">
      <alignment horizontal="left" vertical="top" wrapText="1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/>
    <xf numFmtId="165" fontId="1" fillId="3" borderId="1" xfId="0" applyNumberFormat="1" applyFont="1" applyFill="1" applyBorder="1"/>
    <xf numFmtId="0" fontId="4" fillId="4" borderId="1" xfId="0" applyFont="1" applyFill="1" applyBorder="1" applyAlignment="1">
      <alignment horizontal="left" vertical="top" wrapText="1"/>
    </xf>
    <xf numFmtId="1" fontId="1" fillId="4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/>
    <xf numFmtId="165" fontId="1" fillId="4" borderId="1" xfId="0" applyNumberFormat="1" applyFont="1" applyFill="1" applyBorder="1"/>
    <xf numFmtId="0" fontId="4" fillId="5" borderId="1" xfId="0" applyFont="1" applyFill="1" applyBorder="1" applyAlignment="1">
      <alignment horizontal="left" vertical="top" wrapText="1"/>
    </xf>
    <xf numFmtId="1" fontId="1" fillId="5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/>
    <xf numFmtId="165" fontId="1" fillId="5" borderId="1" xfId="0" applyNumberFormat="1" applyFont="1" applyFill="1" applyBorder="1"/>
    <xf numFmtId="0" fontId="4" fillId="6" borderId="1" xfId="0" applyFont="1" applyFill="1" applyBorder="1" applyAlignment="1">
      <alignment horizontal="left" vertical="top" wrapText="1"/>
    </xf>
    <xf numFmtId="1" fontId="1" fillId="6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/>
    <xf numFmtId="165" fontId="1" fillId="6" borderId="1" xfId="0" applyNumberFormat="1" applyFont="1" applyFill="1" applyBorder="1"/>
    <xf numFmtId="0" fontId="3" fillId="6" borderId="0" xfId="0" applyFont="1" applyFill="1"/>
    <xf numFmtId="0" fontId="4" fillId="7" borderId="1" xfId="0" applyFont="1" applyFill="1" applyBorder="1" applyAlignment="1">
      <alignment horizontal="left" vertical="top" wrapText="1"/>
    </xf>
    <xf numFmtId="1" fontId="1" fillId="7" borderId="1" xfId="0" applyNumberFormat="1" applyFont="1" applyFill="1" applyBorder="1" applyAlignment="1">
      <alignment horizontal="center"/>
    </xf>
    <xf numFmtId="164" fontId="1" fillId="7" borderId="1" xfId="0" applyNumberFormat="1" applyFont="1" applyFill="1" applyBorder="1"/>
    <xf numFmtId="165" fontId="1" fillId="7" borderId="1" xfId="0" applyNumberFormat="1" applyFont="1" applyFill="1" applyBorder="1"/>
    <xf numFmtId="3" fontId="5" fillId="0" borderId="6" xfId="0" applyNumberFormat="1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5" xfId="0" applyFont="1" applyBorder="1"/>
    <xf numFmtId="17" fontId="1" fillId="0" borderId="3" xfId="0" applyNumberFormat="1" applyFont="1" applyBorder="1" applyAlignment="1">
      <alignment horizontal="center" vertical="center"/>
    </xf>
    <xf numFmtId="0" fontId="2" fillId="0" borderId="4" xfId="0" applyFont="1" applyBorder="1"/>
    <xf numFmtId="0" fontId="7" fillId="0" borderId="0" xfId="0" applyFont="1" applyAlignment="1"/>
    <xf numFmtId="0" fontId="7" fillId="0" borderId="7" xfId="0" applyFont="1" applyBorder="1" applyAlignment="1"/>
    <xf numFmtId="0" fontId="8" fillId="0" borderId="7" xfId="0" applyFont="1" applyBorder="1" applyAlignment="1">
      <alignment horizontal="center"/>
    </xf>
  </cellXfs>
  <cellStyles count="1">
    <cellStyle name="Обычный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2" tint="-0.14996795556505021"/>
        </patternFill>
      </fill>
    </dxf>
    <dxf>
      <fill>
        <patternFill>
          <bgColor theme="8"/>
        </patternFill>
      </fill>
    </dxf>
    <dxf>
      <fill>
        <patternFill>
          <bgColor theme="2" tint="-0.14996795556505021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>
      <selection activeCell="J13" sqref="J13"/>
    </sheetView>
  </sheetViews>
  <sheetFormatPr defaultColWidth="16.83203125" defaultRowHeight="15" customHeight="1" outlineLevelRow="1" x14ac:dyDescent="0.2"/>
  <cols>
    <col min="1" max="1" width="66.5" customWidth="1"/>
    <col min="2" max="2" width="11.5" customWidth="1"/>
    <col min="3" max="8" width="28.83203125" customWidth="1"/>
    <col min="9" max="11" width="10.83203125" customWidth="1"/>
    <col min="12" max="26" width="10.1640625" customWidth="1"/>
  </cols>
  <sheetData>
    <row r="1" spans="1:26" ht="15.75" customHeight="1" x14ac:dyDescent="0.25">
      <c r="A1" s="1" t="s">
        <v>0</v>
      </c>
      <c r="B1" s="31" t="s">
        <v>1</v>
      </c>
      <c r="C1" s="33" t="s">
        <v>2</v>
      </c>
      <c r="D1" s="34"/>
      <c r="E1" s="33" t="s">
        <v>3</v>
      </c>
      <c r="F1" s="34"/>
      <c r="G1" s="33" t="s">
        <v>4</v>
      </c>
      <c r="H1" s="3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"/>
      <c r="B2" s="32"/>
      <c r="C2" s="1" t="s">
        <v>5</v>
      </c>
      <c r="D2" s="3" t="s">
        <v>6</v>
      </c>
      <c r="E2" s="1" t="s">
        <v>5</v>
      </c>
      <c r="F2" s="3" t="s">
        <v>6</v>
      </c>
      <c r="G2" s="1" t="s">
        <v>5</v>
      </c>
      <c r="H2" s="3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4" t="s">
        <v>7</v>
      </c>
      <c r="B3" s="5">
        <v>3</v>
      </c>
      <c r="C3" s="6">
        <f t="shared" ref="C3:C25" si="0">G3/1.2067</f>
        <v>1.5138808320212147E-3</v>
      </c>
      <c r="D3" s="6">
        <f t="shared" ref="D3:D26" si="1">H3/1.008</f>
        <v>1.5138808320212147E-3</v>
      </c>
      <c r="E3" s="6">
        <f t="shared" ref="E3:E25" si="2">G3/6</f>
        <v>3.0446666666666668E-4</v>
      </c>
      <c r="F3" s="6">
        <f t="shared" ref="F3:F26" si="3">H3/12</f>
        <v>1.2716598988978203E-4</v>
      </c>
      <c r="G3" s="7">
        <v>1.8268E-3</v>
      </c>
      <c r="H3" s="7">
        <f t="shared" ref="H3:H9" si="4">G3/1.2067*1.008</f>
        <v>1.5259918786773845E-3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4" t="s">
        <v>8</v>
      </c>
      <c r="B4" s="5">
        <v>3</v>
      </c>
      <c r="C4" s="6">
        <f t="shared" si="0"/>
        <v>1.5138808320212147E-3</v>
      </c>
      <c r="D4" s="6">
        <f t="shared" si="1"/>
        <v>1.5138808320212147E-3</v>
      </c>
      <c r="E4" s="6">
        <f t="shared" si="2"/>
        <v>3.0446666666666668E-4</v>
      </c>
      <c r="F4" s="6">
        <f t="shared" si="3"/>
        <v>1.2716598988978203E-4</v>
      </c>
      <c r="G4" s="7">
        <v>1.8268E-3</v>
      </c>
      <c r="H4" s="7">
        <f t="shared" si="4"/>
        <v>1.5259918786773845E-3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4" t="s">
        <v>9</v>
      </c>
      <c r="B5" s="5">
        <v>3</v>
      </c>
      <c r="C5" s="6">
        <f t="shared" si="0"/>
        <v>1.5138808320212147E-3</v>
      </c>
      <c r="D5" s="6">
        <f t="shared" si="1"/>
        <v>1.5138808320212147E-3</v>
      </c>
      <c r="E5" s="6">
        <f t="shared" si="2"/>
        <v>3.0446666666666668E-4</v>
      </c>
      <c r="F5" s="6">
        <f t="shared" si="3"/>
        <v>1.2716598988978203E-4</v>
      </c>
      <c r="G5" s="7">
        <v>1.8268E-3</v>
      </c>
      <c r="H5" s="7">
        <f t="shared" si="4"/>
        <v>1.5259918786773845E-3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4" t="s">
        <v>10</v>
      </c>
      <c r="B6" s="5">
        <v>3</v>
      </c>
      <c r="C6" s="6">
        <f t="shared" si="0"/>
        <v>1.5138808320212147E-3</v>
      </c>
      <c r="D6" s="6">
        <f t="shared" si="1"/>
        <v>1.5138808320212147E-3</v>
      </c>
      <c r="E6" s="6">
        <f t="shared" si="2"/>
        <v>3.0446666666666668E-4</v>
      </c>
      <c r="F6" s="6">
        <f t="shared" si="3"/>
        <v>1.2716598988978203E-4</v>
      </c>
      <c r="G6" s="7">
        <v>1.8268E-3</v>
      </c>
      <c r="H6" s="7">
        <f t="shared" si="4"/>
        <v>1.5259918786773845E-3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4" t="s">
        <v>11</v>
      </c>
      <c r="B7" s="5">
        <v>3</v>
      </c>
      <c r="C7" s="6">
        <f t="shared" si="0"/>
        <v>1.5138808320212147E-3</v>
      </c>
      <c r="D7" s="6">
        <f t="shared" si="1"/>
        <v>1.5138808320212147E-3</v>
      </c>
      <c r="E7" s="6">
        <f t="shared" si="2"/>
        <v>3.0446666666666668E-4</v>
      </c>
      <c r="F7" s="6">
        <f t="shared" si="3"/>
        <v>1.2716598988978203E-4</v>
      </c>
      <c r="G7" s="7">
        <v>1.8268E-3</v>
      </c>
      <c r="H7" s="7">
        <f t="shared" si="4"/>
        <v>1.5259918786773845E-3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4" t="s">
        <v>12</v>
      </c>
      <c r="B8" s="5">
        <v>3</v>
      </c>
      <c r="C8" s="6">
        <f t="shared" si="0"/>
        <v>1.5138808320212147E-3</v>
      </c>
      <c r="D8" s="6">
        <f t="shared" si="1"/>
        <v>1.5138808320212147E-3</v>
      </c>
      <c r="E8" s="6">
        <f t="shared" si="2"/>
        <v>3.0446666666666668E-4</v>
      </c>
      <c r="F8" s="6">
        <f t="shared" si="3"/>
        <v>1.2716598988978203E-4</v>
      </c>
      <c r="G8" s="7">
        <v>1.8268E-3</v>
      </c>
      <c r="H8" s="7">
        <f t="shared" si="4"/>
        <v>1.5259918786773845E-3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4" t="s">
        <v>13</v>
      </c>
      <c r="B9" s="5">
        <v>3</v>
      </c>
      <c r="C9" s="6">
        <f t="shared" si="0"/>
        <v>1.5138808320212147E-3</v>
      </c>
      <c r="D9" s="6">
        <f t="shared" si="1"/>
        <v>1.5138808320212147E-3</v>
      </c>
      <c r="E9" s="6">
        <f t="shared" si="2"/>
        <v>3.0446666666666668E-4</v>
      </c>
      <c r="F9" s="6">
        <f t="shared" si="3"/>
        <v>1.2716598988978203E-4</v>
      </c>
      <c r="G9" s="7">
        <v>1.8268E-3</v>
      </c>
      <c r="H9" s="7">
        <f t="shared" si="4"/>
        <v>1.5259918786773845E-3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8" t="s">
        <v>14</v>
      </c>
      <c r="B10" s="9">
        <v>1</v>
      </c>
      <c r="C10" s="10">
        <f t="shared" si="0"/>
        <v>1.1259999999999999</v>
      </c>
      <c r="D10" s="10">
        <f t="shared" si="1"/>
        <v>1.161642857142857</v>
      </c>
      <c r="E10" s="10">
        <f t="shared" si="2"/>
        <v>0.22645736666666669</v>
      </c>
      <c r="F10" s="10">
        <f t="shared" si="3"/>
        <v>9.7577999999999984E-2</v>
      </c>
      <c r="G10" s="11">
        <v>1.3587442000000001</v>
      </c>
      <c r="H10" s="11">
        <v>1.1709359999999998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4" t="s">
        <v>15</v>
      </c>
      <c r="B11" s="5">
        <v>3</v>
      </c>
      <c r="C11" s="6">
        <f t="shared" si="0"/>
        <v>0.02</v>
      </c>
      <c r="D11" s="6">
        <f t="shared" si="1"/>
        <v>1.9857142857142854E-2</v>
      </c>
      <c r="E11" s="6">
        <f t="shared" si="2"/>
        <v>4.0223333333333335E-3</v>
      </c>
      <c r="F11" s="6">
        <f t="shared" si="3"/>
        <v>1.668E-3</v>
      </c>
      <c r="G11" s="7">
        <v>2.4134000000000003E-2</v>
      </c>
      <c r="H11" s="7">
        <v>2.0015999999999999E-2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4" t="s">
        <v>16</v>
      </c>
      <c r="B12" s="5">
        <v>3</v>
      </c>
      <c r="C12" s="6">
        <f t="shared" si="0"/>
        <v>0.02</v>
      </c>
      <c r="D12" s="6">
        <f t="shared" si="1"/>
        <v>1.9857142857142854E-2</v>
      </c>
      <c r="E12" s="6">
        <f t="shared" si="2"/>
        <v>4.0223333333333335E-3</v>
      </c>
      <c r="F12" s="6">
        <f t="shared" si="3"/>
        <v>1.668E-3</v>
      </c>
      <c r="G12" s="7">
        <v>2.4134000000000003E-2</v>
      </c>
      <c r="H12" s="7">
        <v>2.0015999999999999E-2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4" t="s">
        <v>17</v>
      </c>
      <c r="B13" s="5">
        <v>3</v>
      </c>
      <c r="C13" s="6">
        <f t="shared" si="0"/>
        <v>1.6574127786525234E-3</v>
      </c>
      <c r="D13" s="6">
        <f t="shared" si="1"/>
        <v>1.984126984126984E-3</v>
      </c>
      <c r="E13" s="6">
        <f t="shared" si="2"/>
        <v>3.3333333333333332E-4</v>
      </c>
      <c r="F13" s="6">
        <f t="shared" si="3"/>
        <v>1.6666666666666666E-4</v>
      </c>
      <c r="G13" s="7">
        <v>2E-3</v>
      </c>
      <c r="H13" s="7">
        <v>2E-3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4" t="s">
        <v>18</v>
      </c>
      <c r="B14" s="5">
        <v>3</v>
      </c>
      <c r="C14" s="6">
        <f t="shared" si="0"/>
        <v>0.02</v>
      </c>
      <c r="D14" s="6">
        <f t="shared" si="1"/>
        <v>1.9857142857142854E-2</v>
      </c>
      <c r="E14" s="6">
        <f t="shared" si="2"/>
        <v>4.0223333333333335E-3</v>
      </c>
      <c r="F14" s="6">
        <f t="shared" si="3"/>
        <v>1.668E-3</v>
      </c>
      <c r="G14" s="7">
        <v>2.4134000000000003E-2</v>
      </c>
      <c r="H14" s="7">
        <v>2.0015999999999999E-2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4" t="s">
        <v>19</v>
      </c>
      <c r="B15" s="5">
        <v>3</v>
      </c>
      <c r="C15" s="6">
        <f t="shared" si="0"/>
        <v>0.02</v>
      </c>
      <c r="D15" s="6">
        <f t="shared" si="1"/>
        <v>1.9857142857142854E-2</v>
      </c>
      <c r="E15" s="6">
        <f t="shared" si="2"/>
        <v>4.0223333333333335E-3</v>
      </c>
      <c r="F15" s="6">
        <f t="shared" si="3"/>
        <v>1.668E-3</v>
      </c>
      <c r="G15" s="7">
        <v>2.4134000000000003E-2</v>
      </c>
      <c r="H15" s="7">
        <v>2.0015999999999999E-2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4" t="s">
        <v>20</v>
      </c>
      <c r="B16" s="5">
        <v>3</v>
      </c>
      <c r="C16" s="6">
        <f t="shared" si="0"/>
        <v>0.02</v>
      </c>
      <c r="D16" s="6">
        <f t="shared" si="1"/>
        <v>1.9857142857142854E-2</v>
      </c>
      <c r="E16" s="6">
        <f t="shared" si="2"/>
        <v>4.0223333333333335E-3</v>
      </c>
      <c r="F16" s="6">
        <f t="shared" si="3"/>
        <v>1.668E-3</v>
      </c>
      <c r="G16" s="7">
        <v>2.4134000000000003E-2</v>
      </c>
      <c r="H16" s="7">
        <v>2.0015999999999999E-2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4" t="s">
        <v>21</v>
      </c>
      <c r="B17" s="5">
        <v>3</v>
      </c>
      <c r="C17" s="6">
        <f t="shared" si="0"/>
        <v>8.9999999999999993E-3</v>
      </c>
      <c r="D17" s="6">
        <f t="shared" si="1"/>
        <v>8.9999999999999993E-3</v>
      </c>
      <c r="E17" s="6">
        <f t="shared" si="2"/>
        <v>1.8100499999999999E-3</v>
      </c>
      <c r="F17" s="6">
        <f t="shared" si="3"/>
        <v>7.5600000000000005E-4</v>
      </c>
      <c r="G17" s="7">
        <f>0.009*1.2067</f>
        <v>1.08603E-2</v>
      </c>
      <c r="H17" s="7">
        <f>0.009*1.008</f>
        <v>9.0720000000000002E-3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4" t="s">
        <v>22</v>
      </c>
      <c r="B18" s="5">
        <v>3</v>
      </c>
      <c r="C18" s="6">
        <f t="shared" si="0"/>
        <v>0.02</v>
      </c>
      <c r="D18" s="6">
        <f t="shared" si="1"/>
        <v>0.02</v>
      </c>
      <c r="E18" s="6">
        <f t="shared" si="2"/>
        <v>4.0223333333333335E-3</v>
      </c>
      <c r="F18" s="6">
        <f t="shared" si="3"/>
        <v>1.6800000000000001E-3</v>
      </c>
      <c r="G18" s="7">
        <f>0.02*1.2067</f>
        <v>2.4134000000000003E-2</v>
      </c>
      <c r="H18" s="7">
        <f>0.02*1.008</f>
        <v>2.0160000000000001E-2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4" t="s">
        <v>23</v>
      </c>
      <c r="B19" s="5">
        <v>3</v>
      </c>
      <c r="C19" s="6">
        <f t="shared" si="0"/>
        <v>0.01</v>
      </c>
      <c r="D19" s="6">
        <f t="shared" si="1"/>
        <v>0.01</v>
      </c>
      <c r="E19" s="6">
        <f t="shared" si="2"/>
        <v>2.0111666666666667E-3</v>
      </c>
      <c r="F19" s="6">
        <f t="shared" si="3"/>
        <v>8.4000000000000003E-4</v>
      </c>
      <c r="G19" s="7">
        <f>0.01*1.2067</f>
        <v>1.2067000000000001E-2</v>
      </c>
      <c r="H19" s="7">
        <f>0.01*1.008</f>
        <v>1.008E-2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4" t="s">
        <v>24</v>
      </c>
      <c r="B20" s="5">
        <v>3</v>
      </c>
      <c r="C20" s="6">
        <f t="shared" si="0"/>
        <v>5.0000000000000001E-3</v>
      </c>
      <c r="D20" s="6">
        <f t="shared" si="1"/>
        <v>5.0000000000000001E-3</v>
      </c>
      <c r="E20" s="6">
        <f t="shared" si="2"/>
        <v>1.0055833333333334E-3</v>
      </c>
      <c r="F20" s="6">
        <f t="shared" si="3"/>
        <v>4.2000000000000002E-4</v>
      </c>
      <c r="G20" s="7">
        <v>6.0335000000000007E-3</v>
      </c>
      <c r="H20" s="7">
        <v>5.0400000000000002E-3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12" t="s">
        <v>25</v>
      </c>
      <c r="B21" s="13">
        <v>1</v>
      </c>
      <c r="C21" s="14">
        <f t="shared" si="0"/>
        <v>0.3</v>
      </c>
      <c r="D21" s="14">
        <f t="shared" si="1"/>
        <v>0.29785714285714282</v>
      </c>
      <c r="E21" s="14">
        <f t="shared" si="2"/>
        <v>6.0335E-2</v>
      </c>
      <c r="F21" s="14">
        <f t="shared" si="3"/>
        <v>2.5019999999999997E-2</v>
      </c>
      <c r="G21" s="15">
        <v>0.36201</v>
      </c>
      <c r="H21" s="15">
        <v>0.30023999999999995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12" t="s">
        <v>26</v>
      </c>
      <c r="B22" s="13">
        <v>1</v>
      </c>
      <c r="C22" s="14">
        <f t="shared" si="0"/>
        <v>0.3</v>
      </c>
      <c r="D22" s="14">
        <f t="shared" si="1"/>
        <v>0.29785714285714282</v>
      </c>
      <c r="E22" s="14">
        <f t="shared" si="2"/>
        <v>6.0335E-2</v>
      </c>
      <c r="F22" s="14">
        <f t="shared" si="3"/>
        <v>2.5019999999999997E-2</v>
      </c>
      <c r="G22" s="15">
        <v>0.36201</v>
      </c>
      <c r="H22" s="15">
        <v>0.30023999999999995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12" t="s">
        <v>27</v>
      </c>
      <c r="B23" s="13">
        <v>1</v>
      </c>
      <c r="C23" s="14">
        <f t="shared" si="0"/>
        <v>0.3</v>
      </c>
      <c r="D23" s="14">
        <f t="shared" si="1"/>
        <v>0.29785714285714282</v>
      </c>
      <c r="E23" s="14">
        <f t="shared" si="2"/>
        <v>6.0335E-2</v>
      </c>
      <c r="F23" s="14">
        <f t="shared" si="3"/>
        <v>2.5019999999999997E-2</v>
      </c>
      <c r="G23" s="15">
        <v>0.36201</v>
      </c>
      <c r="H23" s="15">
        <v>0.30023999999999995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12" t="s">
        <v>28</v>
      </c>
      <c r="B24" s="13">
        <v>1</v>
      </c>
      <c r="C24" s="14">
        <f t="shared" si="0"/>
        <v>0.3</v>
      </c>
      <c r="D24" s="14">
        <f t="shared" si="1"/>
        <v>0.29785714285714282</v>
      </c>
      <c r="E24" s="14">
        <f t="shared" si="2"/>
        <v>6.0335E-2</v>
      </c>
      <c r="F24" s="14">
        <f t="shared" si="3"/>
        <v>2.5019999999999997E-2</v>
      </c>
      <c r="G24" s="15">
        <v>0.36201</v>
      </c>
      <c r="H24" s="15">
        <v>0.30023999999999995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12" t="s">
        <v>29</v>
      </c>
      <c r="B25" s="13">
        <v>1</v>
      </c>
      <c r="C25" s="14">
        <f t="shared" si="0"/>
        <v>0.3</v>
      </c>
      <c r="D25" s="14">
        <f t="shared" si="1"/>
        <v>0.29785714285714282</v>
      </c>
      <c r="E25" s="14">
        <f t="shared" si="2"/>
        <v>6.0335E-2</v>
      </c>
      <c r="F25" s="14">
        <f t="shared" si="3"/>
        <v>2.5019999999999997E-2</v>
      </c>
      <c r="G25" s="15">
        <v>0.36201</v>
      </c>
      <c r="H25" s="15">
        <v>0.30023999999999995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16" t="s">
        <v>30</v>
      </c>
      <c r="B26" s="17">
        <v>4</v>
      </c>
      <c r="C26" s="18"/>
      <c r="D26" s="18">
        <f t="shared" si="1"/>
        <v>0.99206349206349209</v>
      </c>
      <c r="E26" s="18"/>
      <c r="F26" s="18">
        <f t="shared" si="3"/>
        <v>8.3333333333333329E-2</v>
      </c>
      <c r="G26" s="19"/>
      <c r="H26" s="19">
        <v>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16" t="s">
        <v>31</v>
      </c>
      <c r="B27" s="17">
        <v>4</v>
      </c>
      <c r="C27" s="18">
        <f t="shared" ref="C27:C92" si="5">G27/1.2067</f>
        <v>0.82870638932626162</v>
      </c>
      <c r="D27" s="18"/>
      <c r="E27" s="18">
        <f t="shared" ref="E27:E92" si="6">G27/6</f>
        <v>0.16666666666666666</v>
      </c>
      <c r="F27" s="18"/>
      <c r="G27" s="19">
        <v>1</v>
      </c>
      <c r="H27" s="1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4" t="s">
        <v>32</v>
      </c>
      <c r="B28" s="5">
        <v>3</v>
      </c>
      <c r="C28" s="6">
        <f t="shared" si="5"/>
        <v>5.0000000000000001E-3</v>
      </c>
      <c r="D28" s="6">
        <f t="shared" ref="D28:D91" si="7">H28/1.008</f>
        <v>5.0000000000000001E-3</v>
      </c>
      <c r="E28" s="6">
        <f t="shared" si="6"/>
        <v>1.0055833333333334E-3</v>
      </c>
      <c r="F28" s="6">
        <f t="shared" ref="F28:F91" si="8">H28/12</f>
        <v>4.2000000000000002E-4</v>
      </c>
      <c r="G28" s="7">
        <f t="shared" ref="G28:G33" si="9">0.005*1.2067</f>
        <v>6.0335000000000007E-3</v>
      </c>
      <c r="H28" s="7">
        <f t="shared" ref="H28:H33" si="10">0.005*1.008</f>
        <v>5.0400000000000002E-3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4" t="s">
        <v>33</v>
      </c>
      <c r="B29" s="5">
        <v>3</v>
      </c>
      <c r="C29" s="6">
        <f t="shared" si="5"/>
        <v>5.0000000000000001E-3</v>
      </c>
      <c r="D29" s="6">
        <f t="shared" si="7"/>
        <v>5.0000000000000001E-3</v>
      </c>
      <c r="E29" s="6">
        <f t="shared" si="6"/>
        <v>1.0055833333333334E-3</v>
      </c>
      <c r="F29" s="6">
        <f t="shared" si="8"/>
        <v>4.2000000000000002E-4</v>
      </c>
      <c r="G29" s="7">
        <f t="shared" si="9"/>
        <v>6.0335000000000007E-3</v>
      </c>
      <c r="H29" s="7">
        <f t="shared" si="10"/>
        <v>5.0400000000000002E-3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4" t="s">
        <v>34</v>
      </c>
      <c r="B30" s="5">
        <v>3</v>
      </c>
      <c r="C30" s="6">
        <f t="shared" si="5"/>
        <v>5.0000000000000001E-3</v>
      </c>
      <c r="D30" s="6">
        <f t="shared" si="7"/>
        <v>5.0000000000000001E-3</v>
      </c>
      <c r="E30" s="6">
        <f t="shared" si="6"/>
        <v>1.0055833333333334E-3</v>
      </c>
      <c r="F30" s="6">
        <f t="shared" si="8"/>
        <v>4.2000000000000002E-4</v>
      </c>
      <c r="G30" s="7">
        <f t="shared" si="9"/>
        <v>6.0335000000000007E-3</v>
      </c>
      <c r="H30" s="7">
        <f t="shared" si="10"/>
        <v>5.0400000000000002E-3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4" t="s">
        <v>35</v>
      </c>
      <c r="B31" s="5">
        <v>3</v>
      </c>
      <c r="C31" s="6">
        <f t="shared" si="5"/>
        <v>5.0000000000000001E-3</v>
      </c>
      <c r="D31" s="6">
        <f t="shared" si="7"/>
        <v>5.0000000000000001E-3</v>
      </c>
      <c r="E31" s="6">
        <f t="shared" si="6"/>
        <v>1.0055833333333334E-3</v>
      </c>
      <c r="F31" s="6">
        <f t="shared" si="8"/>
        <v>4.2000000000000002E-4</v>
      </c>
      <c r="G31" s="7">
        <f t="shared" si="9"/>
        <v>6.0335000000000007E-3</v>
      </c>
      <c r="H31" s="7">
        <f t="shared" si="10"/>
        <v>5.0400000000000002E-3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4" t="s">
        <v>36</v>
      </c>
      <c r="B32" s="5">
        <v>3</v>
      </c>
      <c r="C32" s="6">
        <f t="shared" si="5"/>
        <v>5.0000000000000001E-3</v>
      </c>
      <c r="D32" s="6">
        <f t="shared" si="7"/>
        <v>5.0000000000000001E-3</v>
      </c>
      <c r="E32" s="6">
        <f t="shared" si="6"/>
        <v>1.0055833333333334E-3</v>
      </c>
      <c r="F32" s="6">
        <f t="shared" si="8"/>
        <v>4.2000000000000002E-4</v>
      </c>
      <c r="G32" s="7">
        <f t="shared" si="9"/>
        <v>6.0335000000000007E-3</v>
      </c>
      <c r="H32" s="7">
        <f t="shared" si="10"/>
        <v>5.0400000000000002E-3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4" t="s">
        <v>37</v>
      </c>
      <c r="B33" s="5">
        <v>3</v>
      </c>
      <c r="C33" s="6">
        <f t="shared" si="5"/>
        <v>5.0000000000000001E-3</v>
      </c>
      <c r="D33" s="6">
        <f t="shared" si="7"/>
        <v>5.0000000000000001E-3</v>
      </c>
      <c r="E33" s="6">
        <f t="shared" si="6"/>
        <v>1.0055833333333334E-3</v>
      </c>
      <c r="F33" s="6">
        <f t="shared" si="8"/>
        <v>4.2000000000000002E-4</v>
      </c>
      <c r="G33" s="7">
        <f t="shared" si="9"/>
        <v>6.0335000000000007E-3</v>
      </c>
      <c r="H33" s="7">
        <f t="shared" si="10"/>
        <v>5.0400000000000002E-3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4" t="s">
        <v>38</v>
      </c>
      <c r="B34" s="5">
        <v>3</v>
      </c>
      <c r="C34" s="6">
        <f t="shared" si="5"/>
        <v>0.01</v>
      </c>
      <c r="D34" s="6">
        <f t="shared" si="7"/>
        <v>0.01</v>
      </c>
      <c r="E34" s="6">
        <f t="shared" si="6"/>
        <v>2.0111666666666667E-3</v>
      </c>
      <c r="F34" s="6">
        <f t="shared" si="8"/>
        <v>8.4000000000000003E-4</v>
      </c>
      <c r="G34" s="7">
        <f>0.01*1.2067</f>
        <v>1.2067000000000001E-2</v>
      </c>
      <c r="H34" s="7">
        <f>0.01*1.008</f>
        <v>1.008E-2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6" t="s">
        <v>39</v>
      </c>
      <c r="B35" s="17">
        <v>4</v>
      </c>
      <c r="C35" s="18">
        <f t="shared" si="5"/>
        <v>0.82870638932626162</v>
      </c>
      <c r="D35" s="18">
        <f t="shared" si="7"/>
        <v>0.99206349206349209</v>
      </c>
      <c r="E35" s="18">
        <f t="shared" si="6"/>
        <v>0.16666666666666666</v>
      </c>
      <c r="F35" s="18">
        <f t="shared" si="8"/>
        <v>8.3333333333333329E-2</v>
      </c>
      <c r="G35" s="19">
        <v>1</v>
      </c>
      <c r="H35" s="19">
        <v>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16" t="s">
        <v>40</v>
      </c>
      <c r="B36" s="17">
        <v>4</v>
      </c>
      <c r="C36" s="18">
        <f t="shared" si="5"/>
        <v>0.82870638932626162</v>
      </c>
      <c r="D36" s="18">
        <f t="shared" si="7"/>
        <v>0.99206349206349209</v>
      </c>
      <c r="E36" s="18">
        <f t="shared" si="6"/>
        <v>0.16666666666666666</v>
      </c>
      <c r="F36" s="18">
        <f t="shared" si="8"/>
        <v>8.3333333333333329E-2</v>
      </c>
      <c r="G36" s="19">
        <v>1</v>
      </c>
      <c r="H36" s="19">
        <v>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4" t="s">
        <v>41</v>
      </c>
      <c r="B37" s="5">
        <v>3</v>
      </c>
      <c r="C37" s="6">
        <f t="shared" si="5"/>
        <v>3.0000000000000002E-2</v>
      </c>
      <c r="D37" s="6">
        <f t="shared" si="7"/>
        <v>2.978571428571428E-2</v>
      </c>
      <c r="E37" s="6">
        <f t="shared" si="6"/>
        <v>6.0335000000000007E-3</v>
      </c>
      <c r="F37" s="6">
        <f t="shared" si="8"/>
        <v>2.5019999999999995E-3</v>
      </c>
      <c r="G37" s="7">
        <v>3.6201000000000004E-2</v>
      </c>
      <c r="H37" s="7">
        <v>3.0023999999999995E-2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4" t="s">
        <v>42</v>
      </c>
      <c r="B38" s="5">
        <v>3</v>
      </c>
      <c r="C38" s="6">
        <f t="shared" si="5"/>
        <v>3.0000000000000002E-2</v>
      </c>
      <c r="D38" s="6">
        <f t="shared" si="7"/>
        <v>2.978571428571428E-2</v>
      </c>
      <c r="E38" s="6">
        <f t="shared" si="6"/>
        <v>6.0335000000000007E-3</v>
      </c>
      <c r="F38" s="6">
        <f t="shared" si="8"/>
        <v>2.5019999999999995E-3</v>
      </c>
      <c r="G38" s="7">
        <v>3.6201000000000004E-2</v>
      </c>
      <c r="H38" s="7">
        <v>3.0023999999999995E-2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4" t="s">
        <v>43</v>
      </c>
      <c r="B39" s="5">
        <v>3</v>
      </c>
      <c r="C39" s="6">
        <f t="shared" si="5"/>
        <v>3.0000000000000002E-2</v>
      </c>
      <c r="D39" s="6">
        <f t="shared" si="7"/>
        <v>2.978571428571428E-2</v>
      </c>
      <c r="E39" s="6">
        <f t="shared" si="6"/>
        <v>6.0335000000000007E-3</v>
      </c>
      <c r="F39" s="6">
        <f t="shared" si="8"/>
        <v>2.5019999999999995E-3</v>
      </c>
      <c r="G39" s="7">
        <v>3.6201000000000004E-2</v>
      </c>
      <c r="H39" s="7">
        <v>3.0023999999999995E-2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4" t="s">
        <v>44</v>
      </c>
      <c r="B40" s="5">
        <v>3</v>
      </c>
      <c r="C40" s="6">
        <f t="shared" si="5"/>
        <v>3.0000000000000002E-2</v>
      </c>
      <c r="D40" s="6">
        <f t="shared" si="7"/>
        <v>2.978571428571428E-2</v>
      </c>
      <c r="E40" s="6">
        <f t="shared" si="6"/>
        <v>6.0335000000000007E-3</v>
      </c>
      <c r="F40" s="6">
        <f t="shared" si="8"/>
        <v>2.5019999999999995E-3</v>
      </c>
      <c r="G40" s="7">
        <v>3.6201000000000004E-2</v>
      </c>
      <c r="H40" s="7">
        <v>3.0023999999999995E-2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4" t="s">
        <v>45</v>
      </c>
      <c r="B41" s="5">
        <v>3</v>
      </c>
      <c r="C41" s="6">
        <f t="shared" si="5"/>
        <v>3.0000000000000002E-2</v>
      </c>
      <c r="D41" s="6">
        <f t="shared" si="7"/>
        <v>2.978571428571428E-2</v>
      </c>
      <c r="E41" s="6">
        <f t="shared" si="6"/>
        <v>6.0335000000000007E-3</v>
      </c>
      <c r="F41" s="6">
        <f t="shared" si="8"/>
        <v>2.5019999999999995E-3</v>
      </c>
      <c r="G41" s="7">
        <v>3.6201000000000004E-2</v>
      </c>
      <c r="H41" s="7">
        <v>3.0023999999999995E-2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16" t="s">
        <v>46</v>
      </c>
      <c r="B42" s="17">
        <v>4</v>
      </c>
      <c r="C42" s="18">
        <f t="shared" si="5"/>
        <v>0.82870638932626162</v>
      </c>
      <c r="D42" s="18">
        <f t="shared" si="7"/>
        <v>0.99206349206349209</v>
      </c>
      <c r="E42" s="18">
        <f t="shared" si="6"/>
        <v>0.16666666666666666</v>
      </c>
      <c r="F42" s="18">
        <f t="shared" si="8"/>
        <v>8.3333333333333329E-2</v>
      </c>
      <c r="G42" s="19">
        <v>1</v>
      </c>
      <c r="H42" s="19">
        <v>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4" t="s">
        <v>47</v>
      </c>
      <c r="B43" s="5">
        <v>3</v>
      </c>
      <c r="C43" s="6">
        <f t="shared" si="5"/>
        <v>2E-3</v>
      </c>
      <c r="D43" s="6">
        <f t="shared" si="7"/>
        <v>2E-3</v>
      </c>
      <c r="E43" s="6">
        <f t="shared" si="6"/>
        <v>4.0223333333333342E-4</v>
      </c>
      <c r="F43" s="6">
        <f t="shared" si="8"/>
        <v>1.6799999999999999E-4</v>
      </c>
      <c r="G43" s="7">
        <f t="shared" ref="G43:G60" si="11">0.002*1.2067</f>
        <v>2.4134000000000004E-3</v>
      </c>
      <c r="H43" s="7">
        <f t="shared" ref="H43:H60" si="12">0.002*1.008</f>
        <v>2.016E-3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4" t="s">
        <v>48</v>
      </c>
      <c r="B44" s="5">
        <v>3</v>
      </c>
      <c r="C44" s="6">
        <f t="shared" si="5"/>
        <v>2E-3</v>
      </c>
      <c r="D44" s="6">
        <f t="shared" si="7"/>
        <v>2E-3</v>
      </c>
      <c r="E44" s="6">
        <f t="shared" si="6"/>
        <v>4.0223333333333342E-4</v>
      </c>
      <c r="F44" s="6">
        <f t="shared" si="8"/>
        <v>1.6799999999999999E-4</v>
      </c>
      <c r="G44" s="7">
        <f t="shared" si="11"/>
        <v>2.4134000000000004E-3</v>
      </c>
      <c r="H44" s="7">
        <f t="shared" si="12"/>
        <v>2.016E-3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4" t="s">
        <v>49</v>
      </c>
      <c r="B45" s="5">
        <v>3</v>
      </c>
      <c r="C45" s="6">
        <f t="shared" si="5"/>
        <v>2E-3</v>
      </c>
      <c r="D45" s="6">
        <f t="shared" si="7"/>
        <v>2E-3</v>
      </c>
      <c r="E45" s="6">
        <f t="shared" si="6"/>
        <v>4.0223333333333342E-4</v>
      </c>
      <c r="F45" s="6">
        <f t="shared" si="8"/>
        <v>1.6799999999999999E-4</v>
      </c>
      <c r="G45" s="7">
        <f t="shared" si="11"/>
        <v>2.4134000000000004E-3</v>
      </c>
      <c r="H45" s="7">
        <f t="shared" si="12"/>
        <v>2.016E-3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4" t="s">
        <v>50</v>
      </c>
      <c r="B46" s="5">
        <v>3</v>
      </c>
      <c r="C46" s="6">
        <f t="shared" si="5"/>
        <v>2E-3</v>
      </c>
      <c r="D46" s="6">
        <f t="shared" si="7"/>
        <v>2E-3</v>
      </c>
      <c r="E46" s="6">
        <f t="shared" si="6"/>
        <v>4.0223333333333342E-4</v>
      </c>
      <c r="F46" s="6">
        <f t="shared" si="8"/>
        <v>1.6799999999999999E-4</v>
      </c>
      <c r="G46" s="7">
        <f t="shared" si="11"/>
        <v>2.4134000000000004E-3</v>
      </c>
      <c r="H46" s="7">
        <f t="shared" si="12"/>
        <v>2.016E-3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4" t="s">
        <v>51</v>
      </c>
      <c r="B47" s="5">
        <v>3</v>
      </c>
      <c r="C47" s="6">
        <f t="shared" si="5"/>
        <v>2E-3</v>
      </c>
      <c r="D47" s="6">
        <f t="shared" si="7"/>
        <v>2E-3</v>
      </c>
      <c r="E47" s="6">
        <f t="shared" si="6"/>
        <v>4.0223333333333342E-4</v>
      </c>
      <c r="F47" s="6">
        <f t="shared" si="8"/>
        <v>1.6799999999999999E-4</v>
      </c>
      <c r="G47" s="7">
        <f t="shared" si="11"/>
        <v>2.4134000000000004E-3</v>
      </c>
      <c r="H47" s="7">
        <f t="shared" si="12"/>
        <v>2.016E-3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4" t="s">
        <v>52</v>
      </c>
      <c r="B48" s="5">
        <v>3</v>
      </c>
      <c r="C48" s="6">
        <f t="shared" si="5"/>
        <v>2E-3</v>
      </c>
      <c r="D48" s="6">
        <f t="shared" si="7"/>
        <v>2E-3</v>
      </c>
      <c r="E48" s="6">
        <f t="shared" si="6"/>
        <v>4.0223333333333342E-4</v>
      </c>
      <c r="F48" s="6">
        <f t="shared" si="8"/>
        <v>1.6799999999999999E-4</v>
      </c>
      <c r="G48" s="7">
        <f t="shared" si="11"/>
        <v>2.4134000000000004E-3</v>
      </c>
      <c r="H48" s="7">
        <f t="shared" si="12"/>
        <v>2.016E-3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4" t="s">
        <v>53</v>
      </c>
      <c r="B49" s="5">
        <v>3</v>
      </c>
      <c r="C49" s="6">
        <f t="shared" si="5"/>
        <v>2E-3</v>
      </c>
      <c r="D49" s="6">
        <f t="shared" si="7"/>
        <v>2E-3</v>
      </c>
      <c r="E49" s="6">
        <f t="shared" si="6"/>
        <v>4.0223333333333342E-4</v>
      </c>
      <c r="F49" s="6">
        <f t="shared" si="8"/>
        <v>1.6799999999999999E-4</v>
      </c>
      <c r="G49" s="7">
        <f t="shared" si="11"/>
        <v>2.4134000000000004E-3</v>
      </c>
      <c r="H49" s="7">
        <f t="shared" si="12"/>
        <v>2.016E-3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4" t="s">
        <v>54</v>
      </c>
      <c r="B50" s="5">
        <v>3</v>
      </c>
      <c r="C50" s="6">
        <f t="shared" si="5"/>
        <v>2E-3</v>
      </c>
      <c r="D50" s="6">
        <f t="shared" si="7"/>
        <v>2E-3</v>
      </c>
      <c r="E50" s="6">
        <f t="shared" si="6"/>
        <v>4.0223333333333342E-4</v>
      </c>
      <c r="F50" s="6">
        <f t="shared" si="8"/>
        <v>1.6799999999999999E-4</v>
      </c>
      <c r="G50" s="7">
        <f t="shared" si="11"/>
        <v>2.4134000000000004E-3</v>
      </c>
      <c r="H50" s="7">
        <f t="shared" si="12"/>
        <v>2.016E-3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4" t="s">
        <v>55</v>
      </c>
      <c r="B51" s="5">
        <v>3</v>
      </c>
      <c r="C51" s="6">
        <f t="shared" si="5"/>
        <v>2E-3</v>
      </c>
      <c r="D51" s="6">
        <f t="shared" si="7"/>
        <v>2E-3</v>
      </c>
      <c r="E51" s="6">
        <f t="shared" si="6"/>
        <v>4.0223333333333342E-4</v>
      </c>
      <c r="F51" s="6">
        <f t="shared" si="8"/>
        <v>1.6799999999999999E-4</v>
      </c>
      <c r="G51" s="7">
        <f t="shared" si="11"/>
        <v>2.4134000000000004E-3</v>
      </c>
      <c r="H51" s="7">
        <f t="shared" si="12"/>
        <v>2.016E-3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4" t="s">
        <v>56</v>
      </c>
      <c r="B52" s="5">
        <v>3</v>
      </c>
      <c r="C52" s="6">
        <f t="shared" si="5"/>
        <v>2E-3</v>
      </c>
      <c r="D52" s="6">
        <f t="shared" si="7"/>
        <v>2E-3</v>
      </c>
      <c r="E52" s="6">
        <f t="shared" si="6"/>
        <v>4.0223333333333342E-4</v>
      </c>
      <c r="F52" s="6">
        <f t="shared" si="8"/>
        <v>1.6799999999999999E-4</v>
      </c>
      <c r="G52" s="7">
        <f t="shared" si="11"/>
        <v>2.4134000000000004E-3</v>
      </c>
      <c r="H52" s="7">
        <f t="shared" si="12"/>
        <v>2.016E-3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4" t="s">
        <v>57</v>
      </c>
      <c r="B53" s="5">
        <v>3</v>
      </c>
      <c r="C53" s="6">
        <f t="shared" si="5"/>
        <v>2E-3</v>
      </c>
      <c r="D53" s="6">
        <f t="shared" si="7"/>
        <v>2E-3</v>
      </c>
      <c r="E53" s="6">
        <f t="shared" si="6"/>
        <v>4.0223333333333342E-4</v>
      </c>
      <c r="F53" s="6">
        <f t="shared" si="8"/>
        <v>1.6799999999999999E-4</v>
      </c>
      <c r="G53" s="7">
        <f t="shared" si="11"/>
        <v>2.4134000000000004E-3</v>
      </c>
      <c r="H53" s="7">
        <f t="shared" si="12"/>
        <v>2.016E-3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4" t="s">
        <v>58</v>
      </c>
      <c r="B54" s="5">
        <v>3</v>
      </c>
      <c r="C54" s="6">
        <f t="shared" si="5"/>
        <v>2E-3</v>
      </c>
      <c r="D54" s="6">
        <f t="shared" si="7"/>
        <v>2E-3</v>
      </c>
      <c r="E54" s="6">
        <f t="shared" si="6"/>
        <v>4.0223333333333342E-4</v>
      </c>
      <c r="F54" s="6">
        <f t="shared" si="8"/>
        <v>1.6799999999999999E-4</v>
      </c>
      <c r="G54" s="7">
        <f t="shared" si="11"/>
        <v>2.4134000000000004E-3</v>
      </c>
      <c r="H54" s="7">
        <f t="shared" si="12"/>
        <v>2.016E-3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4" t="s">
        <v>59</v>
      </c>
      <c r="B55" s="5">
        <v>3</v>
      </c>
      <c r="C55" s="6">
        <f t="shared" si="5"/>
        <v>2E-3</v>
      </c>
      <c r="D55" s="6">
        <f t="shared" si="7"/>
        <v>2E-3</v>
      </c>
      <c r="E55" s="6">
        <f t="shared" si="6"/>
        <v>4.0223333333333342E-4</v>
      </c>
      <c r="F55" s="6">
        <f t="shared" si="8"/>
        <v>1.6799999999999999E-4</v>
      </c>
      <c r="G55" s="7">
        <f t="shared" si="11"/>
        <v>2.4134000000000004E-3</v>
      </c>
      <c r="H55" s="7">
        <f t="shared" si="12"/>
        <v>2.016E-3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4" t="s">
        <v>60</v>
      </c>
      <c r="B56" s="5">
        <v>3</v>
      </c>
      <c r="C56" s="6">
        <f t="shared" si="5"/>
        <v>2E-3</v>
      </c>
      <c r="D56" s="6">
        <f t="shared" si="7"/>
        <v>2E-3</v>
      </c>
      <c r="E56" s="6">
        <f t="shared" si="6"/>
        <v>4.0223333333333342E-4</v>
      </c>
      <c r="F56" s="6">
        <f t="shared" si="8"/>
        <v>1.6799999999999999E-4</v>
      </c>
      <c r="G56" s="7">
        <f t="shared" si="11"/>
        <v>2.4134000000000004E-3</v>
      </c>
      <c r="H56" s="7">
        <f t="shared" si="12"/>
        <v>2.016E-3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4" t="s">
        <v>61</v>
      </c>
      <c r="B57" s="5">
        <v>3</v>
      </c>
      <c r="C57" s="6">
        <f t="shared" si="5"/>
        <v>2E-3</v>
      </c>
      <c r="D57" s="6">
        <f t="shared" si="7"/>
        <v>2E-3</v>
      </c>
      <c r="E57" s="6">
        <f t="shared" si="6"/>
        <v>4.0223333333333342E-4</v>
      </c>
      <c r="F57" s="6">
        <f t="shared" si="8"/>
        <v>1.6799999999999999E-4</v>
      </c>
      <c r="G57" s="7">
        <f t="shared" si="11"/>
        <v>2.4134000000000004E-3</v>
      </c>
      <c r="H57" s="7">
        <f t="shared" si="12"/>
        <v>2.016E-3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4" t="s">
        <v>62</v>
      </c>
      <c r="B58" s="5">
        <v>3</v>
      </c>
      <c r="C58" s="6">
        <f t="shared" si="5"/>
        <v>2E-3</v>
      </c>
      <c r="D58" s="6">
        <f t="shared" si="7"/>
        <v>2E-3</v>
      </c>
      <c r="E58" s="6">
        <f t="shared" si="6"/>
        <v>4.0223333333333342E-4</v>
      </c>
      <c r="F58" s="6">
        <f t="shared" si="8"/>
        <v>1.6799999999999999E-4</v>
      </c>
      <c r="G58" s="7">
        <f t="shared" si="11"/>
        <v>2.4134000000000004E-3</v>
      </c>
      <c r="H58" s="7">
        <f t="shared" si="12"/>
        <v>2.016E-3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4" t="s">
        <v>63</v>
      </c>
      <c r="B59" s="5">
        <v>3</v>
      </c>
      <c r="C59" s="6">
        <f t="shared" si="5"/>
        <v>2E-3</v>
      </c>
      <c r="D59" s="6">
        <f t="shared" si="7"/>
        <v>2E-3</v>
      </c>
      <c r="E59" s="6">
        <f t="shared" si="6"/>
        <v>4.0223333333333342E-4</v>
      </c>
      <c r="F59" s="6">
        <f t="shared" si="8"/>
        <v>1.6799999999999999E-4</v>
      </c>
      <c r="G59" s="7">
        <f t="shared" si="11"/>
        <v>2.4134000000000004E-3</v>
      </c>
      <c r="H59" s="7">
        <f t="shared" si="12"/>
        <v>2.016E-3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4" t="s">
        <v>64</v>
      </c>
      <c r="B60" s="5">
        <v>3</v>
      </c>
      <c r="C60" s="6">
        <f t="shared" si="5"/>
        <v>2E-3</v>
      </c>
      <c r="D60" s="6">
        <f t="shared" si="7"/>
        <v>2E-3</v>
      </c>
      <c r="E60" s="6">
        <f t="shared" si="6"/>
        <v>4.0223333333333342E-4</v>
      </c>
      <c r="F60" s="6">
        <f t="shared" si="8"/>
        <v>1.6799999999999999E-4</v>
      </c>
      <c r="G60" s="7">
        <f t="shared" si="11"/>
        <v>2.4134000000000004E-3</v>
      </c>
      <c r="H60" s="7">
        <f t="shared" si="12"/>
        <v>2.016E-3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4" t="s">
        <v>65</v>
      </c>
      <c r="B61" s="5">
        <v>3</v>
      </c>
      <c r="C61" s="6">
        <f t="shared" si="5"/>
        <v>1E-3</v>
      </c>
      <c r="D61" s="6">
        <f t="shared" si="7"/>
        <v>1E-3</v>
      </c>
      <c r="E61" s="6">
        <f t="shared" si="6"/>
        <v>2.0111666666666671E-4</v>
      </c>
      <c r="F61" s="6">
        <f t="shared" si="8"/>
        <v>8.3999999999999995E-5</v>
      </c>
      <c r="G61" s="7">
        <f t="shared" ref="G61:G73" si="13">0.001*1.2067</f>
        <v>1.2067000000000002E-3</v>
      </c>
      <c r="H61" s="7">
        <f t="shared" ref="H61:H73" si="14">0.001*1.008</f>
        <v>1.008E-3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4" t="s">
        <v>66</v>
      </c>
      <c r="B62" s="5">
        <v>3</v>
      </c>
      <c r="C62" s="6">
        <f t="shared" si="5"/>
        <v>1E-3</v>
      </c>
      <c r="D62" s="6">
        <f t="shared" si="7"/>
        <v>1E-3</v>
      </c>
      <c r="E62" s="6">
        <f t="shared" si="6"/>
        <v>2.0111666666666671E-4</v>
      </c>
      <c r="F62" s="6">
        <f t="shared" si="8"/>
        <v>8.3999999999999995E-5</v>
      </c>
      <c r="G62" s="7">
        <f t="shared" si="13"/>
        <v>1.2067000000000002E-3</v>
      </c>
      <c r="H62" s="7">
        <f t="shared" si="14"/>
        <v>1.008E-3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4" t="s">
        <v>67</v>
      </c>
      <c r="B63" s="5">
        <v>3</v>
      </c>
      <c r="C63" s="6">
        <f t="shared" si="5"/>
        <v>1E-3</v>
      </c>
      <c r="D63" s="6">
        <f t="shared" si="7"/>
        <v>1E-3</v>
      </c>
      <c r="E63" s="6">
        <f t="shared" si="6"/>
        <v>2.0111666666666671E-4</v>
      </c>
      <c r="F63" s="6">
        <f t="shared" si="8"/>
        <v>8.3999999999999995E-5</v>
      </c>
      <c r="G63" s="7">
        <f t="shared" si="13"/>
        <v>1.2067000000000002E-3</v>
      </c>
      <c r="H63" s="7">
        <f t="shared" si="14"/>
        <v>1.008E-3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4" t="s">
        <v>68</v>
      </c>
      <c r="B64" s="5">
        <v>3</v>
      </c>
      <c r="C64" s="6">
        <f t="shared" si="5"/>
        <v>1E-3</v>
      </c>
      <c r="D64" s="6">
        <f t="shared" si="7"/>
        <v>1E-3</v>
      </c>
      <c r="E64" s="6">
        <f t="shared" si="6"/>
        <v>2.0111666666666671E-4</v>
      </c>
      <c r="F64" s="6">
        <f t="shared" si="8"/>
        <v>8.3999999999999995E-5</v>
      </c>
      <c r="G64" s="7">
        <f t="shared" si="13"/>
        <v>1.2067000000000002E-3</v>
      </c>
      <c r="H64" s="7">
        <f t="shared" si="14"/>
        <v>1.008E-3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4" t="s">
        <v>69</v>
      </c>
      <c r="B65" s="5">
        <v>3</v>
      </c>
      <c r="C65" s="6">
        <f t="shared" si="5"/>
        <v>1E-3</v>
      </c>
      <c r="D65" s="6">
        <f t="shared" si="7"/>
        <v>1E-3</v>
      </c>
      <c r="E65" s="6">
        <f t="shared" si="6"/>
        <v>2.0111666666666671E-4</v>
      </c>
      <c r="F65" s="6">
        <f t="shared" si="8"/>
        <v>8.3999999999999995E-5</v>
      </c>
      <c r="G65" s="7">
        <f t="shared" si="13"/>
        <v>1.2067000000000002E-3</v>
      </c>
      <c r="H65" s="7">
        <f t="shared" si="14"/>
        <v>1.008E-3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4" t="s">
        <v>70</v>
      </c>
      <c r="B66" s="5">
        <v>3</v>
      </c>
      <c r="C66" s="6">
        <f t="shared" si="5"/>
        <v>1E-3</v>
      </c>
      <c r="D66" s="6">
        <f t="shared" si="7"/>
        <v>1E-3</v>
      </c>
      <c r="E66" s="6">
        <f t="shared" si="6"/>
        <v>2.0111666666666671E-4</v>
      </c>
      <c r="F66" s="6">
        <f t="shared" si="8"/>
        <v>8.3999999999999995E-5</v>
      </c>
      <c r="G66" s="7">
        <f t="shared" si="13"/>
        <v>1.2067000000000002E-3</v>
      </c>
      <c r="H66" s="7">
        <f t="shared" si="14"/>
        <v>1.008E-3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4" t="s">
        <v>71</v>
      </c>
      <c r="B67" s="5">
        <v>3</v>
      </c>
      <c r="C67" s="6">
        <f t="shared" si="5"/>
        <v>1E-3</v>
      </c>
      <c r="D67" s="6">
        <f t="shared" si="7"/>
        <v>1E-3</v>
      </c>
      <c r="E67" s="6">
        <f t="shared" si="6"/>
        <v>2.0111666666666671E-4</v>
      </c>
      <c r="F67" s="6">
        <f t="shared" si="8"/>
        <v>8.3999999999999995E-5</v>
      </c>
      <c r="G67" s="7">
        <f t="shared" si="13"/>
        <v>1.2067000000000002E-3</v>
      </c>
      <c r="H67" s="7">
        <f t="shared" si="14"/>
        <v>1.008E-3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4" t="s">
        <v>72</v>
      </c>
      <c r="B68" s="5">
        <v>3</v>
      </c>
      <c r="C68" s="6">
        <f t="shared" si="5"/>
        <v>1E-3</v>
      </c>
      <c r="D68" s="6">
        <f t="shared" si="7"/>
        <v>1E-3</v>
      </c>
      <c r="E68" s="6">
        <f t="shared" si="6"/>
        <v>2.0111666666666671E-4</v>
      </c>
      <c r="F68" s="6">
        <f t="shared" si="8"/>
        <v>8.3999999999999995E-5</v>
      </c>
      <c r="G68" s="7">
        <f t="shared" si="13"/>
        <v>1.2067000000000002E-3</v>
      </c>
      <c r="H68" s="7">
        <f t="shared" si="14"/>
        <v>1.008E-3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4" t="s">
        <v>73</v>
      </c>
      <c r="B69" s="5">
        <v>3</v>
      </c>
      <c r="C69" s="6">
        <f t="shared" si="5"/>
        <v>1E-3</v>
      </c>
      <c r="D69" s="6">
        <f t="shared" si="7"/>
        <v>1E-3</v>
      </c>
      <c r="E69" s="6">
        <f t="shared" si="6"/>
        <v>2.0111666666666671E-4</v>
      </c>
      <c r="F69" s="6">
        <f t="shared" si="8"/>
        <v>8.3999999999999995E-5</v>
      </c>
      <c r="G69" s="7">
        <f t="shared" si="13"/>
        <v>1.2067000000000002E-3</v>
      </c>
      <c r="H69" s="7">
        <f t="shared" si="14"/>
        <v>1.008E-3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4" t="s">
        <v>74</v>
      </c>
      <c r="B70" s="5">
        <v>3</v>
      </c>
      <c r="C70" s="6">
        <f t="shared" si="5"/>
        <v>1E-3</v>
      </c>
      <c r="D70" s="6">
        <f t="shared" si="7"/>
        <v>1E-3</v>
      </c>
      <c r="E70" s="6">
        <f t="shared" si="6"/>
        <v>2.0111666666666671E-4</v>
      </c>
      <c r="F70" s="6">
        <f t="shared" si="8"/>
        <v>8.3999999999999995E-5</v>
      </c>
      <c r="G70" s="7">
        <f t="shared" si="13"/>
        <v>1.2067000000000002E-3</v>
      </c>
      <c r="H70" s="7">
        <f t="shared" si="14"/>
        <v>1.008E-3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4" t="s">
        <v>75</v>
      </c>
      <c r="B71" s="5">
        <v>3</v>
      </c>
      <c r="C71" s="6">
        <f t="shared" si="5"/>
        <v>1E-3</v>
      </c>
      <c r="D71" s="6">
        <f t="shared" si="7"/>
        <v>1E-3</v>
      </c>
      <c r="E71" s="6">
        <f t="shared" si="6"/>
        <v>2.0111666666666671E-4</v>
      </c>
      <c r="F71" s="6">
        <f t="shared" si="8"/>
        <v>8.3999999999999995E-5</v>
      </c>
      <c r="G71" s="7">
        <f t="shared" si="13"/>
        <v>1.2067000000000002E-3</v>
      </c>
      <c r="H71" s="7">
        <f t="shared" si="14"/>
        <v>1.008E-3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4" t="s">
        <v>76</v>
      </c>
      <c r="B72" s="5">
        <v>3</v>
      </c>
      <c r="C72" s="6">
        <f t="shared" si="5"/>
        <v>1E-3</v>
      </c>
      <c r="D72" s="6">
        <f t="shared" si="7"/>
        <v>1E-3</v>
      </c>
      <c r="E72" s="6">
        <f t="shared" si="6"/>
        <v>2.0111666666666671E-4</v>
      </c>
      <c r="F72" s="6">
        <f t="shared" si="8"/>
        <v>8.3999999999999995E-5</v>
      </c>
      <c r="G72" s="7">
        <f t="shared" si="13"/>
        <v>1.2067000000000002E-3</v>
      </c>
      <c r="H72" s="7">
        <f t="shared" si="14"/>
        <v>1.008E-3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4" t="s">
        <v>77</v>
      </c>
      <c r="B73" s="5">
        <v>3</v>
      </c>
      <c r="C73" s="6">
        <f t="shared" si="5"/>
        <v>1E-3</v>
      </c>
      <c r="D73" s="6">
        <f t="shared" si="7"/>
        <v>1E-3</v>
      </c>
      <c r="E73" s="6">
        <f t="shared" si="6"/>
        <v>2.0111666666666671E-4</v>
      </c>
      <c r="F73" s="6">
        <f t="shared" si="8"/>
        <v>8.3999999999999995E-5</v>
      </c>
      <c r="G73" s="7">
        <f t="shared" si="13"/>
        <v>1.2067000000000002E-3</v>
      </c>
      <c r="H73" s="7">
        <f t="shared" si="14"/>
        <v>1.008E-3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12" t="s">
        <v>78</v>
      </c>
      <c r="B74" s="13">
        <v>1</v>
      </c>
      <c r="C74" s="14">
        <f t="shared" si="5"/>
        <v>0.3</v>
      </c>
      <c r="D74" s="14">
        <f t="shared" si="7"/>
        <v>0.29785714285714282</v>
      </c>
      <c r="E74" s="14">
        <f t="shared" si="6"/>
        <v>6.0335E-2</v>
      </c>
      <c r="F74" s="14">
        <f t="shared" si="8"/>
        <v>2.5019999999999997E-2</v>
      </c>
      <c r="G74" s="15">
        <v>0.36201</v>
      </c>
      <c r="H74" s="15">
        <v>0.30023999999999995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4" t="s">
        <v>79</v>
      </c>
      <c r="B75" s="5">
        <v>3</v>
      </c>
      <c r="C75" s="6">
        <f t="shared" si="5"/>
        <v>8.9999999999999993E-3</v>
      </c>
      <c r="D75" s="6">
        <f t="shared" si="7"/>
        <v>8.9999999999999993E-3</v>
      </c>
      <c r="E75" s="6">
        <f t="shared" si="6"/>
        <v>1.8100499999999999E-3</v>
      </c>
      <c r="F75" s="6">
        <f t="shared" si="8"/>
        <v>7.5600000000000005E-4</v>
      </c>
      <c r="G75" s="7">
        <f>0.009*1.2067</f>
        <v>1.08603E-2</v>
      </c>
      <c r="H75" s="7">
        <f>0.009*1.008</f>
        <v>9.0720000000000002E-3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4" t="s">
        <v>80</v>
      </c>
      <c r="B76" s="5">
        <v>3</v>
      </c>
      <c r="C76" s="6">
        <f t="shared" si="5"/>
        <v>3.0000000000000002E-2</v>
      </c>
      <c r="D76" s="6">
        <f t="shared" si="7"/>
        <v>2.978571428571428E-2</v>
      </c>
      <c r="E76" s="6">
        <f t="shared" si="6"/>
        <v>6.0335000000000007E-3</v>
      </c>
      <c r="F76" s="6">
        <f t="shared" si="8"/>
        <v>2.5019999999999995E-3</v>
      </c>
      <c r="G76" s="7">
        <v>3.6201000000000004E-2</v>
      </c>
      <c r="H76" s="7">
        <v>3.0023999999999995E-2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4" t="s">
        <v>81</v>
      </c>
      <c r="B77" s="5">
        <v>3</v>
      </c>
      <c r="C77" s="6">
        <f t="shared" si="5"/>
        <v>3.0000000000000002E-2</v>
      </c>
      <c r="D77" s="6">
        <f t="shared" si="7"/>
        <v>2.978571428571428E-2</v>
      </c>
      <c r="E77" s="6">
        <f t="shared" si="6"/>
        <v>6.0335000000000007E-3</v>
      </c>
      <c r="F77" s="6">
        <f t="shared" si="8"/>
        <v>2.5019999999999995E-3</v>
      </c>
      <c r="G77" s="7">
        <v>3.6201000000000004E-2</v>
      </c>
      <c r="H77" s="7">
        <v>3.0023999999999995E-2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4" t="s">
        <v>82</v>
      </c>
      <c r="B78" s="5">
        <v>3</v>
      </c>
      <c r="C78" s="6">
        <f t="shared" si="5"/>
        <v>3.0000000000000002E-2</v>
      </c>
      <c r="D78" s="6">
        <f t="shared" si="7"/>
        <v>2.978571428571428E-2</v>
      </c>
      <c r="E78" s="6">
        <f t="shared" si="6"/>
        <v>6.0335000000000007E-3</v>
      </c>
      <c r="F78" s="6">
        <f t="shared" si="8"/>
        <v>2.5019999999999995E-3</v>
      </c>
      <c r="G78" s="7">
        <v>3.6201000000000004E-2</v>
      </c>
      <c r="H78" s="7">
        <v>3.0023999999999995E-2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4" t="s">
        <v>83</v>
      </c>
      <c r="B79" s="5">
        <v>3</v>
      </c>
      <c r="C79" s="6">
        <f t="shared" si="5"/>
        <v>3.0000000000000002E-2</v>
      </c>
      <c r="D79" s="6">
        <f t="shared" si="7"/>
        <v>2.978571428571428E-2</v>
      </c>
      <c r="E79" s="6">
        <f t="shared" si="6"/>
        <v>6.0335000000000007E-3</v>
      </c>
      <c r="F79" s="6">
        <f t="shared" si="8"/>
        <v>2.5019999999999995E-3</v>
      </c>
      <c r="G79" s="7">
        <v>3.6201000000000004E-2</v>
      </c>
      <c r="H79" s="7">
        <v>3.0023999999999995E-2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4" t="s">
        <v>84</v>
      </c>
      <c r="B80" s="5">
        <v>3</v>
      </c>
      <c r="C80" s="6">
        <f t="shared" si="5"/>
        <v>1.7000000000000001E-2</v>
      </c>
      <c r="D80" s="6">
        <f t="shared" si="7"/>
        <v>1.687857142857143E-2</v>
      </c>
      <c r="E80" s="6">
        <f t="shared" si="6"/>
        <v>3.4189833333333336E-3</v>
      </c>
      <c r="F80" s="6">
        <f t="shared" si="8"/>
        <v>1.4178000000000001E-3</v>
      </c>
      <c r="G80" s="7">
        <v>2.0513900000000002E-2</v>
      </c>
      <c r="H80" s="7">
        <v>1.70136E-2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4" t="s">
        <v>85</v>
      </c>
      <c r="B81" s="5">
        <v>3</v>
      </c>
      <c r="C81" s="6">
        <f t="shared" si="5"/>
        <v>1.7000000000000001E-2</v>
      </c>
      <c r="D81" s="6">
        <f t="shared" si="7"/>
        <v>1.687857142857143E-2</v>
      </c>
      <c r="E81" s="6">
        <f t="shared" si="6"/>
        <v>3.4189833333333336E-3</v>
      </c>
      <c r="F81" s="6">
        <f t="shared" si="8"/>
        <v>1.4178000000000001E-3</v>
      </c>
      <c r="G81" s="7">
        <v>2.0513900000000002E-2</v>
      </c>
      <c r="H81" s="7">
        <v>1.70136E-2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4" t="s">
        <v>86</v>
      </c>
      <c r="B82" s="5">
        <v>3</v>
      </c>
      <c r="C82" s="6">
        <f t="shared" si="5"/>
        <v>1.7000000000000001E-2</v>
      </c>
      <c r="D82" s="6">
        <f t="shared" si="7"/>
        <v>1.687857142857143E-2</v>
      </c>
      <c r="E82" s="6">
        <f t="shared" si="6"/>
        <v>3.4189833333333336E-3</v>
      </c>
      <c r="F82" s="6">
        <f t="shared" si="8"/>
        <v>1.4178000000000001E-3</v>
      </c>
      <c r="G82" s="7">
        <v>2.0513900000000002E-2</v>
      </c>
      <c r="H82" s="7">
        <v>1.70136E-2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4" t="s">
        <v>87</v>
      </c>
      <c r="B83" s="5">
        <v>3</v>
      </c>
      <c r="C83" s="6">
        <f t="shared" si="5"/>
        <v>1.7000000000000001E-2</v>
      </c>
      <c r="D83" s="6">
        <f t="shared" si="7"/>
        <v>1.687857142857143E-2</v>
      </c>
      <c r="E83" s="6">
        <f t="shared" si="6"/>
        <v>3.4189833333333336E-3</v>
      </c>
      <c r="F83" s="6">
        <f t="shared" si="8"/>
        <v>1.4178000000000001E-3</v>
      </c>
      <c r="G83" s="7">
        <v>2.0513900000000002E-2</v>
      </c>
      <c r="H83" s="7">
        <v>1.70136E-2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4" t="s">
        <v>88</v>
      </c>
      <c r="B84" s="5">
        <v>3</v>
      </c>
      <c r="C84" s="6">
        <f t="shared" si="5"/>
        <v>1.7000000000000001E-2</v>
      </c>
      <c r="D84" s="6">
        <f t="shared" si="7"/>
        <v>1.687857142857143E-2</v>
      </c>
      <c r="E84" s="6">
        <f t="shared" si="6"/>
        <v>3.4189833333333336E-3</v>
      </c>
      <c r="F84" s="6">
        <f t="shared" si="8"/>
        <v>1.4178000000000001E-3</v>
      </c>
      <c r="G84" s="7">
        <v>2.0513900000000002E-2</v>
      </c>
      <c r="H84" s="7">
        <v>1.70136E-2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4" t="s">
        <v>89</v>
      </c>
      <c r="B85" s="5">
        <v>3</v>
      </c>
      <c r="C85" s="6">
        <f t="shared" si="5"/>
        <v>1.7000000000000001E-2</v>
      </c>
      <c r="D85" s="6">
        <f t="shared" si="7"/>
        <v>1.687857142857143E-2</v>
      </c>
      <c r="E85" s="6">
        <f t="shared" si="6"/>
        <v>3.4189833333333336E-3</v>
      </c>
      <c r="F85" s="6">
        <f t="shared" si="8"/>
        <v>1.4178000000000001E-3</v>
      </c>
      <c r="G85" s="7">
        <v>2.0513900000000002E-2</v>
      </c>
      <c r="H85" s="7">
        <v>1.70136E-2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4" t="s">
        <v>90</v>
      </c>
      <c r="B86" s="5">
        <v>3</v>
      </c>
      <c r="C86" s="6">
        <f t="shared" si="5"/>
        <v>1.7000000000000001E-2</v>
      </c>
      <c r="D86" s="6">
        <f t="shared" si="7"/>
        <v>1.687857142857143E-2</v>
      </c>
      <c r="E86" s="6">
        <f t="shared" si="6"/>
        <v>3.4189833333333336E-3</v>
      </c>
      <c r="F86" s="6">
        <f t="shared" si="8"/>
        <v>1.4178000000000001E-3</v>
      </c>
      <c r="G86" s="7">
        <v>2.0513900000000002E-2</v>
      </c>
      <c r="H86" s="7">
        <v>1.70136E-2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4" t="s">
        <v>91</v>
      </c>
      <c r="B87" s="5">
        <v>3</v>
      </c>
      <c r="C87" s="6">
        <f t="shared" si="5"/>
        <v>1.7000000000000001E-2</v>
      </c>
      <c r="D87" s="6">
        <f t="shared" si="7"/>
        <v>1.687857142857143E-2</v>
      </c>
      <c r="E87" s="6">
        <f t="shared" si="6"/>
        <v>3.4189833333333336E-3</v>
      </c>
      <c r="F87" s="6">
        <f t="shared" si="8"/>
        <v>1.4178000000000001E-3</v>
      </c>
      <c r="G87" s="7">
        <v>2.0513900000000002E-2</v>
      </c>
      <c r="H87" s="7">
        <v>1.70136E-2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4" t="s">
        <v>92</v>
      </c>
      <c r="B88" s="5">
        <v>3</v>
      </c>
      <c r="C88" s="6">
        <f t="shared" si="5"/>
        <v>1.7000000000000001E-2</v>
      </c>
      <c r="D88" s="6">
        <f t="shared" si="7"/>
        <v>1.687857142857143E-2</v>
      </c>
      <c r="E88" s="6">
        <f t="shared" si="6"/>
        <v>3.4189833333333336E-3</v>
      </c>
      <c r="F88" s="6">
        <f t="shared" si="8"/>
        <v>1.4178000000000001E-3</v>
      </c>
      <c r="G88" s="7">
        <v>2.0513900000000002E-2</v>
      </c>
      <c r="H88" s="7">
        <v>1.70136E-2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8" t="s">
        <v>93</v>
      </c>
      <c r="B89" s="9">
        <v>1</v>
      </c>
      <c r="C89" s="10">
        <f t="shared" si="5"/>
        <v>1.1259999999999999</v>
      </c>
      <c r="D89" s="10">
        <f t="shared" si="7"/>
        <v>1.161642857142857</v>
      </c>
      <c r="E89" s="10">
        <f t="shared" si="6"/>
        <v>0.22645736666666669</v>
      </c>
      <c r="F89" s="10">
        <f t="shared" si="8"/>
        <v>9.7577999999999984E-2</v>
      </c>
      <c r="G89" s="11">
        <v>1.3587442000000001</v>
      </c>
      <c r="H89" s="11">
        <v>1.1709359999999998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8" t="s">
        <v>94</v>
      </c>
      <c r="B90" s="9">
        <v>1</v>
      </c>
      <c r="C90" s="10">
        <f t="shared" si="5"/>
        <v>1.1259999999999999</v>
      </c>
      <c r="D90" s="10">
        <f t="shared" si="7"/>
        <v>1.161642857142857</v>
      </c>
      <c r="E90" s="10">
        <f t="shared" si="6"/>
        <v>0.22645736666666669</v>
      </c>
      <c r="F90" s="10">
        <f t="shared" si="8"/>
        <v>9.7577999999999984E-2</v>
      </c>
      <c r="G90" s="11">
        <v>1.3587442000000001</v>
      </c>
      <c r="H90" s="11">
        <v>1.1709359999999998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0" t="s">
        <v>95</v>
      </c>
      <c r="B91" s="21">
        <v>1</v>
      </c>
      <c r="C91" s="22">
        <f t="shared" si="5"/>
        <v>1.125</v>
      </c>
      <c r="D91" s="22">
        <f t="shared" si="7"/>
        <v>1.2410714285714284</v>
      </c>
      <c r="E91" s="22">
        <f t="shared" si="6"/>
        <v>0.22625625000000002</v>
      </c>
      <c r="F91" s="22">
        <f t="shared" si="8"/>
        <v>0.10425</v>
      </c>
      <c r="G91" s="23">
        <v>1.3575375000000001</v>
      </c>
      <c r="H91" s="23">
        <v>1.2509999999999999</v>
      </c>
      <c r="I91" s="2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5.75" customHeight="1" x14ac:dyDescent="0.25">
      <c r="A92" s="25" t="s">
        <v>96</v>
      </c>
      <c r="B92" s="26">
        <v>1</v>
      </c>
      <c r="C92" s="27">
        <f t="shared" si="5"/>
        <v>1.1000000000000001</v>
      </c>
      <c r="D92" s="27"/>
      <c r="E92" s="27">
        <f t="shared" si="6"/>
        <v>0.22122833333333336</v>
      </c>
      <c r="F92" s="27"/>
      <c r="G92" s="28">
        <v>1.3273700000000002</v>
      </c>
      <c r="H92" s="2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5" t="s">
        <v>97</v>
      </c>
      <c r="B93" s="26">
        <v>1</v>
      </c>
      <c r="C93" s="27"/>
      <c r="D93" s="27">
        <f t="shared" ref="D93:D97" si="15">H93/1.008</f>
        <v>1.0921428571428573</v>
      </c>
      <c r="E93" s="27"/>
      <c r="F93" s="27">
        <f t="shared" ref="F93:F97" si="16">H93/12</f>
        <v>9.1740000000000002E-2</v>
      </c>
      <c r="G93" s="28"/>
      <c r="H93" s="28">
        <v>1.1008800000000001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4" t="s">
        <v>98</v>
      </c>
      <c r="B94" s="5">
        <v>3</v>
      </c>
      <c r="C94" s="6">
        <f t="shared" ref="C94:C97" si="17">G94/1.2067</f>
        <v>5.8009447252838311E-2</v>
      </c>
      <c r="D94" s="6">
        <f t="shared" si="15"/>
        <v>0.05</v>
      </c>
      <c r="E94" s="6">
        <f t="shared" ref="E94:E97" si="18">G94/6</f>
        <v>1.1666666666666665E-2</v>
      </c>
      <c r="F94" s="6">
        <f t="shared" si="16"/>
        <v>4.1999999999999997E-3</v>
      </c>
      <c r="G94" s="7">
        <f>0.05*1.4</f>
        <v>6.9999999999999993E-2</v>
      </c>
      <c r="H94" s="7">
        <f>0.05*1.008</f>
        <v>5.04E-2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16" t="s">
        <v>99</v>
      </c>
      <c r="B95" s="17">
        <v>4</v>
      </c>
      <c r="C95" s="18">
        <f t="shared" si="17"/>
        <v>0.82870638932626162</v>
      </c>
      <c r="D95" s="18">
        <f t="shared" si="15"/>
        <v>0.99206349206349209</v>
      </c>
      <c r="E95" s="18">
        <f t="shared" si="18"/>
        <v>0.16666666666666666</v>
      </c>
      <c r="F95" s="18">
        <f t="shared" si="16"/>
        <v>8.3333333333333329E-2</v>
      </c>
      <c r="G95" s="19">
        <v>1</v>
      </c>
      <c r="H95" s="19">
        <v>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4" t="s">
        <v>100</v>
      </c>
      <c r="B96" s="5">
        <v>3</v>
      </c>
      <c r="C96" s="6">
        <f t="shared" si="17"/>
        <v>1.5138808320212147E-3</v>
      </c>
      <c r="D96" s="6">
        <f t="shared" si="15"/>
        <v>1.5138808320212147E-3</v>
      </c>
      <c r="E96" s="6">
        <f t="shared" si="18"/>
        <v>3.0446666666666668E-4</v>
      </c>
      <c r="F96" s="6">
        <f t="shared" si="16"/>
        <v>1.2716598988978203E-4</v>
      </c>
      <c r="G96" s="7">
        <v>1.8268E-3</v>
      </c>
      <c r="H96" s="7">
        <f>G96/1.2067*1.008</f>
        <v>1.5259918786773845E-3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" customHeight="1" outlineLevel="1" x14ac:dyDescent="0.25">
      <c r="A97" s="4" t="s">
        <v>101</v>
      </c>
      <c r="B97" s="5">
        <v>3</v>
      </c>
      <c r="C97" s="6">
        <f t="shared" si="17"/>
        <v>1E-3</v>
      </c>
      <c r="D97" s="6">
        <f t="shared" si="15"/>
        <v>1E-3</v>
      </c>
      <c r="E97" s="6">
        <f t="shared" si="18"/>
        <v>2.0111666666666671E-4</v>
      </c>
      <c r="F97" s="6">
        <f t="shared" si="16"/>
        <v>8.3999999999999995E-5</v>
      </c>
      <c r="G97" s="7">
        <f>0.001*1.2067</f>
        <v>1.2067000000000002E-3</v>
      </c>
      <c r="H97" s="7">
        <f>0.001*1.008</f>
        <v>1.008E-3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" customHeight="1" outlineLevel="1" x14ac:dyDescent="0.25">
      <c r="A98" s="2"/>
      <c r="B98" s="2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3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3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3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3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3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3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3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3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3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3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3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3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3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3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3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3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3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3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3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3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3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3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3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3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3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3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3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3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3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3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3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3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3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3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3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3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3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3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3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3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3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3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3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3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3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30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3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30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30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30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30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30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30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30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30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30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3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3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3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3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3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3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3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30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30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30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30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30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30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30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30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30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30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30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30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30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30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30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30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30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30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30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30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30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30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30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30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30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30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30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30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30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30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30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30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30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30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30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30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30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30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30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30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30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30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30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30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30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30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30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30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30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30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30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30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30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30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30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30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30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3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30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3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30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30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30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3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30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3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3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3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30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3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30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3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3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3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3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3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3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3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3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3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30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3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30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3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30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3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3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3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3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3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30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3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30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3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3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3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30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3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30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3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30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3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3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3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3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3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30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3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30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3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30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3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3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3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30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3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30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3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30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3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30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30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30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30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30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30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30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30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30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30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30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30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30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30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30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30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30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30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30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30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30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30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30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30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30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30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30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30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30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30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30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30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30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30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30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30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30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30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30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30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30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30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30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30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30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30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30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30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30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30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30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30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30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30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30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30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30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30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30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30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30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30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30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30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30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30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30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30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30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30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30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30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30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30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30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30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30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30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30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30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30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30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30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30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30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3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3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3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30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3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30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30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30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3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30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3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30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3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30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3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30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3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3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3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3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3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3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3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3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3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3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3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3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3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3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3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3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3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3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3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3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3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3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3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3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3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3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3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3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3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3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3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3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3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3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3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3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3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3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3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3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3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3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3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3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3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3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3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3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3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3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3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3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3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3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3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3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3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3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3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3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3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3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3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3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3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3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3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3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3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3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3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3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3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3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3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3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3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3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3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3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3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3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3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3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3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3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3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3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3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3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3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3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3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3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3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3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3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3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3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3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3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3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3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3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3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3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3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3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3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3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3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3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3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3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3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3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3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3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3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3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3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3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3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3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3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3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3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3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3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3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3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3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3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3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3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3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3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3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3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3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3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3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3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3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3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3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3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3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3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3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3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3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3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3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3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3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3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3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3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3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3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3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3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3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3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3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3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3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3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3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3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3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3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3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3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3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3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3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3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3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3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3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3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3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3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3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3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3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3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3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3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3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3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3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3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3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3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3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3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3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3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3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3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3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3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3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3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3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3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3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3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3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3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3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3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3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3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3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3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3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3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3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3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3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3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3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3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3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3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3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3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3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3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3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3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3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3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3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3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3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3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3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3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3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3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3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3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3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3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3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3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3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3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3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3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3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3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3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3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3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3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3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3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3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3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3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3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3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3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3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3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3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3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3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3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3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3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3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3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3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3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3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3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3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3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3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3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3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3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3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3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3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3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3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3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3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3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3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3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3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3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3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3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3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3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3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3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3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3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3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3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3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3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3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3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3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3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3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3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3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3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3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3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3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3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3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3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3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3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3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3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3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3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3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3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3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3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3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3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3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3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3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3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3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3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3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3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3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3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3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3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3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3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3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3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3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3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3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3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3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3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3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3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3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3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3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3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3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3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3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3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3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3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3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3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3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3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3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3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3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3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3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3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3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3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3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3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3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3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3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3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3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3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3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3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3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3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3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3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3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3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3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3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3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3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3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3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3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3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3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3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3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3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3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3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3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3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3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3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3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3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3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3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3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3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3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3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3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3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3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3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3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3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3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3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3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3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3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3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3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3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3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3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3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3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3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3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3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3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3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3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3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3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3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3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3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3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3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3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3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3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3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3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3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3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3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3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3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3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3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3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3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3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3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3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3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3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3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3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3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3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3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3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3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3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3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3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3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3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3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3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3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3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3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3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3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3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3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3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3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3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3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3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3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3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3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3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3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3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3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3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3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3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3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3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3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3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3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3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3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3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3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3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3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3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3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3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3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3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3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3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3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3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3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3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3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3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3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3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3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3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3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3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3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3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3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3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3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3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3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3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3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3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3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3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3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3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3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3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3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3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3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3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3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3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3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3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3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3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3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3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3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3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3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3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3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3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3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3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3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3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3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3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3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3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3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3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3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3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3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3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3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3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3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3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3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3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3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3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3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3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3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3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3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3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3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3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3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3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3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3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3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3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3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3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3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autoFilter ref="A2:A97"/>
  <mergeCells count="4">
    <mergeCell ref="B1:B2"/>
    <mergeCell ref="C1:D1"/>
    <mergeCell ref="E1:F1"/>
    <mergeCell ref="G1:H1"/>
  </mergeCells>
  <conditionalFormatting sqref="A1:A1048576">
    <cfRule type="containsText" dxfId="6" priority="1" operator="containsText" text="грунт">
      <formula>NOT(ISERROR(SEARCH("грунт",A1)))</formula>
    </cfRule>
    <cfRule type="containsText" dxfId="5" priority="2" operator="containsText" text="пигмент">
      <formula>NOT(ISERROR(SEARCH("пигмент",A1)))</formula>
    </cfRule>
    <cfRule type="containsText" dxfId="4" priority="3" operator="containsText" text="краситель">
      <formula>NOT(ISERROR(SEARCH("краситель",A1)))</formula>
    </cfRule>
    <cfRule type="containsText" dxfId="3" priority="4" operator="containsText" text="краситель">
      <formula>NOT(ISERROR(SEARCH("краситель",A1)))</formula>
    </cfRule>
    <cfRule type="containsText" dxfId="2" priority="5" operator="containsText" text="масло">
      <formula>NOT(ISERROR(SEARCH("масло",A1)))</formula>
    </cfRule>
    <cfRule type="containsText" dxfId="1" priority="6" operator="containsText" text="паста">
      <formula>NOT(ISERROR(SEARCH("паста",A1)))</formula>
    </cfRule>
    <cfRule type="containsText" dxfId="0" priority="7" operator="containsText" text="лак">
      <formula>NOT(ISERROR(SEARCH("лак",A1)))</formula>
    </cfRule>
  </conditionalFormatting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10" sqref="A10"/>
    </sheetView>
  </sheetViews>
  <sheetFormatPr defaultRowHeight="15" x14ac:dyDescent="0.25"/>
  <cols>
    <col min="1" max="1" width="35.6640625" style="35" customWidth="1"/>
    <col min="2" max="2" width="27.5" style="35" customWidth="1"/>
  </cols>
  <sheetData>
    <row r="1" spans="1:2" x14ac:dyDescent="0.25">
      <c r="A1" s="37" t="s">
        <v>0</v>
      </c>
      <c r="B1" s="37" t="s">
        <v>108</v>
      </c>
    </row>
    <row r="2" spans="1:2" x14ac:dyDescent="0.25">
      <c r="A2" s="36" t="s">
        <v>102</v>
      </c>
      <c r="B2" s="36">
        <v>5.0000000000000001E-3</v>
      </c>
    </row>
    <row r="3" spans="1:2" x14ac:dyDescent="0.25">
      <c r="A3" s="36" t="s">
        <v>103</v>
      </c>
      <c r="B3" s="36">
        <v>1.4999999999999999E-2</v>
      </c>
    </row>
    <row r="4" spans="1:2" x14ac:dyDescent="0.25">
      <c r="A4" s="36" t="s">
        <v>104</v>
      </c>
      <c r="B4" s="36">
        <v>1.4999999999999999E-2</v>
      </c>
    </row>
    <row r="5" spans="1:2" x14ac:dyDescent="0.25">
      <c r="A5" s="36" t="s">
        <v>105</v>
      </c>
      <c r="B5" s="36">
        <v>5.0000000000000001E-3</v>
      </c>
    </row>
    <row r="6" spans="1:2" x14ac:dyDescent="0.25">
      <c r="A6" s="36" t="s">
        <v>106</v>
      </c>
      <c r="B6" s="36">
        <v>3.0000000000000001E-3</v>
      </c>
    </row>
    <row r="7" spans="1:2" x14ac:dyDescent="0.25">
      <c r="A7" s="36" t="s">
        <v>107</v>
      </c>
      <c r="B7" s="36">
        <v>0.05</v>
      </c>
    </row>
    <row r="10" spans="1:2" x14ac:dyDescent="0.25">
      <c r="A10" s="3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Нормы расхода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Бухгалтер</dc:creator>
  <cp:lastModifiedBy>Пользователь</cp:lastModifiedBy>
  <dcterms:created xsi:type="dcterms:W3CDTF">2026-07-14T11:19:27Z</dcterms:created>
  <dcterms:modified xsi:type="dcterms:W3CDTF">2026-08-28T11:15:25Z</dcterms:modified>
</cp:coreProperties>
</file>